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544e072de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81d90c1f5f044e5"/>
    <x:sheet xmlns:r="http://schemas.openxmlformats.org/officeDocument/2006/relationships" name="Jobs" sheetId="2" r:id="R31858684cdda42c0"/>
    <x:sheet xmlns:r="http://schemas.openxmlformats.org/officeDocument/2006/relationships" name="Application Tracker" sheetId="3" r:id="R2ac620dca1934a0a"/>
    <x:sheet xmlns:r="http://schemas.openxmlformats.org/officeDocument/2006/relationships" name="Application Tracker v2" sheetId="4" r:id="R22b3dadd7ee8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f0f55bc2e4c43" /><Relationship Type="http://schemas.openxmlformats.org/officeDocument/2006/relationships/theme" Target="/xl/theme/theme1.xml" Id="Rc493b7eccde54583" /><Relationship Type="http://schemas.openxmlformats.org/officeDocument/2006/relationships/sharedStrings" Target="/xl/sharedStrings.xml" Id="Ra583c826350640d5" /><Relationship Type="http://schemas.openxmlformats.org/officeDocument/2006/relationships/worksheet" Target="/xl/worksheets/sheet1.xml" Id="R381d90c1f5f044e5" /><Relationship Type="http://schemas.openxmlformats.org/officeDocument/2006/relationships/worksheet" Target="/xl/worksheets/sheet2.xml" Id="R31858684cdda42c0" /><Relationship Type="http://schemas.openxmlformats.org/officeDocument/2006/relationships/worksheet" Target="/xl/worksheets/sheet3.xml" Id="R2ac620dca1934a0a" /><Relationship Type="http://schemas.openxmlformats.org/officeDocument/2006/relationships/worksheet" Target="/xl/worksheets/sheet4.xml" Id="R22b3dadd7ee84d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d794d6ca364a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Opportunities by Fit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d794d6ca364a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sTable" displayName="JobsTable" ref="A1:M62" headerRowCount="1" totalsRowCount="0" totalsRowShown="0">
  <x:tableColumns count="13">
    <x:tableColumn id="1" name="Company"/>
    <x:tableColumn id="2" name="Role Title"/>
    <x:tableColumn id="3" name="Location"/>
    <x:tableColumn id="4" name="Experience"/>
    <x:tableColumn id="5" name="Salary"/>
    <x:tableColumn id="6" name="Qualifications"/>
    <x:tableColumn id="7" name="Skills Required"/>
    <x:tableColumn id="8" name="Direct Application Link"/>
    <x:tableColumn id="9" name="Careers Link"/>
    <x:tableColumn id="10" name="Recruiter / Contact"/>
    <x:tableColumn id="11" name="Deadline"/>
    <x:tableColumn id="12" name="Fit Score"/>
    <x:tableColumn id="13" name="Sourc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icationTrackerTable" displayName="ApplicationTrackerTable" ref="A1:Q62" headerRowCount="1" totalsRowCount="0" totalsRowShown="0">
  <x:tableColumns count="17">
    <x:tableColumn id="1" name="Company"/>
    <x:tableColumn id="2" name="Role Title"/>
    <x:tableColumn id="3" name="Location"/>
    <x:tableColumn id="4" name="Experience"/>
    <x:tableColumn id="5" name="Salary"/>
    <x:tableColumn id="6" name="Qualifications"/>
    <x:tableColumn id="7" name="Skills Required"/>
    <x:tableColumn id="8" name="Direct Application Link"/>
    <x:tableColumn id="9" name="Careers Link"/>
    <x:tableColumn id="10" name="Recruiter / Contact"/>
    <x:tableColumn id="11" name="Deadline"/>
    <x:tableColumn id="12" name="Fit Score"/>
    <x:tableColumn id="13" name="Source / Notes"/>
    <x:tableColumn id="14" name="Status"/>
    <x:tableColumn id="15" name="Applied Date"/>
    <x:tableColumn id="16" name="Follow-up Date"/>
    <x:tableColumn id="17" name="Interview St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licationTrackerTableV2" displayName="ApplicationTrackerTableV2" ref="A1:R62" headerRowCount="1" totalsRowCount="0" totalsRowShown="0">
  <x:tableColumns count="18">
    <x:tableColumn id="1" name="Company"/>
    <x:tableColumn id="2" name="Role Title"/>
    <x:tableColumn id="3" name="Location"/>
    <x:tableColumn id="4" name="Experience"/>
    <x:tableColumn id="5" name="Salary"/>
    <x:tableColumn id="6" name="Qualifications"/>
    <x:tableColumn id="7" name="Skills Required"/>
    <x:tableColumn id="8" name="Direct Application Link"/>
    <x:tableColumn id="9" name="Careers Link"/>
    <x:tableColumn id="10" name="Recruiter / Contact"/>
    <x:tableColumn id="11" name="Deadline"/>
    <x:tableColumn id="12" name="Fit Score"/>
    <x:tableColumn id="13" name="Source / Notes"/>
    <x:tableColumn id="14" name="Status"/>
    <x:tableColumn id="15" name="Applied Date"/>
    <x:tableColumn id="16" name="Follow-up Date"/>
    <x:tableColumn id="17" name="Interview Stage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650da1117045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91ef77e48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e2616c8a614e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4ef00fba18474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BBA International Business — Bengaluru Job Pipeline</x:v>
      </x:c>
      <x:c r="B1" s="5"/>
      <x:c r="C1" s="5"/>
      <x:c r="D1" s="5"/>
      <x:c r="E1" s="5"/>
      <x:c r="F1" s="5"/>
      <x:c r="G1" s="5"/>
      <x:c r="H1" s="5"/>
    </x:row>
    <x:row r="2">
      <x:c r="A2" s="10" t="str">
        <x:v>Consolidated and deduplicated from the job opportunities surfaced in this conversation.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  <x:c r="D4" s="15" t="str">
        <x:v>Fit Band</x:v>
      </x:c>
      <x:c r="E4" s="15" t="str">
        <x:v>Count</x:v>
      </x:c>
      <x:c r="F4" s="15" t="str">
        <x:v>Action</x:v>
      </x:c>
    </x:row>
    <x:row r="5">
      <x:c r="A5" s="21" t="str">
        <x:v>Total opportunities</x:v>
      </x:c>
      <x:c r="B5" t="n">
        <x:v>61</x:v>
      </x:c>
      <x:c r="D5" s="21" t="str">
        <x:v>9.5–10.0</x:v>
      </x:c>
      <x:c r="E5" t="n">
        <x:f>COUNTIFS(Jobs!L2:L62,"&gt;=9.5",Jobs!L2:L62,"&lt;=10")</x:f>
        <x:v>11</x:v>
      </x:c>
      <x:c r="F5" t="str">
        <x:v>Apply immediately</x:v>
      </x:c>
    </x:row>
    <x:row r="6">
      <x:c r="A6" s="21" t="str">
        <x:v>Fit score ≥ 9</x:v>
      </x:c>
      <x:c r="B6" t="n">
        <x:f>COUNTIF(Jobs!L2:L62,"&gt;=9")</x:f>
        <x:v>26</x:v>
      </x:c>
      <x:c r="D6" s="21" t="str">
        <x:v>9.0–9.4</x:v>
      </x:c>
      <x:c r="E6" t="n">
        <x:f>COUNTIFS(Jobs!L2:L62,"&gt;=9",Jobs!L2:L62,"&lt;9.5")</x:f>
        <x:v>15</x:v>
      </x:c>
      <x:c r="F6" t="str">
        <x:v>Apply today</x:v>
      </x:c>
    </x:row>
    <x:row r="7">
      <x:c r="A7" s="21" t="str">
        <x:v>Fresher-friendly</x:v>
      </x:c>
      <x:c r="B7" t="n">
        <x:f>COUNTIF(Jobs!D2:D62,"*Fresher*")</x:f>
        <x:v>0</x:v>
      </x:c>
      <x:c r="D7" s="21" t="str">
        <x:v>8.5–8.9</x:v>
      </x:c>
      <x:c r="E7" t="n">
        <x:f>COUNTIFS(Jobs!L2:L62,"&gt;=8.5",Jobs!L2:L62,"&lt;9")</x:f>
        <x:v>15</x:v>
      </x:c>
      <x:c r="F7" t="str">
        <x:v>Apply selectively</x:v>
      </x:c>
    </x:row>
    <x:row r="8">
      <x:c r="A8" s="21" t="str">
        <x:v>With salary disclosed</x:v>
      </x:c>
      <x:c r="B8" t="n">
        <x:f>COUNTIF(Jobs!E2:E62,"*₹*")</x:f>
        <x:v>0</x:v>
      </x:c>
      <x:c r="D8" s="21" t="str">
        <x:v>8.0–8.4</x:v>
      </x:c>
      <x:c r="E8" t="n">
        <x:f>COUNTIFS(Jobs!L2:L62,"&gt;=8",Jobs!L2:L62,"&lt;8.5")</x:f>
        <x:v>14</x:v>
      </x:c>
      <x:c r="F8" t="str">
        <x:v>Secondary pipeline</x:v>
      </x:c>
    </x:row>
    <x:row r="9">
      <x:c r="A9" s="21" t="str">
        <x:v>With public contact</x:v>
      </x:c>
      <x:c r="B9" t="n">
        <x:f>COUNTIF(Jobs!J2:J62,"*|*")</x:f>
        <x:v>0</x:v>
      </x:c>
      <x:c r="D9" s="21" t="str">
        <x:v>&lt;8.0</x:v>
      </x:c>
      <x:c r="E9" t="n">
        <x:f>COUNTIF(Jobs!L2:L62,"&lt;8")</x:f>
        <x:v>6</x:v>
      </x:c>
      <x:c r="F9" t="str">
        <x:v>Only if strategic</x:v>
      </x:c>
    </x:row>
    <x:row r="10">
      <x:c r="A10" s="21" t="str">
        <x:v>With deadline</x:v>
      </x:c>
      <x:c r="B10" t="n">
        <x:f>COUNTIF(Jobs!K2:K62,"&lt;&gt;Rolling")</x:f>
        <x:v>8</x:v>
      </x:c>
      <x:c r="D10" s="21" t="str">
        <x:v>Total</x:v>
      </x:c>
      <x:c r="E10" t="n">
        <x:f>SUM(E5:E9)</x:f>
        <x:v>61</x:v>
      </x:c>
      <x:c r="F10" t="str"/>
    </x:row>
    <x:row r="12">
      <x:c r="A12" s="38" t="str">
        <x:v>Verification note: some links are job-board/search links and some salary/eligibility details are estimates from the surfaced job data. Verify the live requisition before applying.</x:v>
      </x:c>
      <x:c r="B12" s="38"/>
      <x:c r="C12" s="38"/>
      <x:c r="D12" s="38"/>
      <x:c r="E12" s="38"/>
      <x:c r="F12" s="38"/>
      <x:c r="G12" s="38"/>
      <x:c r="H12" s="38"/>
    </x:row>
    <x:row r="13">
      <x:c r="A13" s="38"/>
      <x:c r="B13" s="38"/>
      <x:c r="C13" s="38"/>
      <x:c r="D13" s="38"/>
      <x:c r="E13" s="38"/>
      <x:c r="F13" s="38"/>
      <x:c r="G13" s="38"/>
      <x:c r="H13" s="38"/>
    </x:row>
    <x:row r="14">
      <x:c r="A14" s="38"/>
      <x:c r="B14" s="38"/>
      <x:c r="C14" s="38"/>
      <x:c r="D14" s="38"/>
      <x:c r="E14" s="38"/>
      <x:c r="F14" s="38"/>
      <x:c r="G14" s="38"/>
      <x:c r="H14" s="38"/>
    </x:row>
    <x:row r="15">
      <x:c r="A15" s="38"/>
      <x:c r="B15" s="38"/>
      <x:c r="C15" s="38"/>
      <x:c r="D15" s="38"/>
      <x:c r="E15" s="38"/>
      <x:c r="F15" s="38"/>
      <x:c r="G15" s="38"/>
      <x:c r="H15" s="38"/>
    </x:row>
  </x:sheetData>
  <x:mergeCells>
    <x:mergeCell ref="A1:H1"/>
    <x:mergeCell ref="A2:H2"/>
    <x:mergeCell ref="A12:H15"/>
  </x:mergeCells>
  <x:pageMargins left="0.7" right="0.7" top="0.75" bottom="0.75" header="0.3" footer="0.3"/>
  <x:drawing xmlns:r="http://schemas.openxmlformats.org/officeDocument/2006/relationships" r:id="Rc3650da1117045cd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8" hidden="0" customWidth="1"/>
    <x:col min="5" max="5" width="24" hidden="0" customWidth="1"/>
    <x:col min="6" max="6" width="30" hidden="0" customWidth="1"/>
    <x:col min="7" max="7" width="42" hidden="0" customWidth="1"/>
    <x:col min="8" max="8" width="42" hidden="0" customWidth="1"/>
    <x:col min="9" max="9" width="34" hidden="0" customWidth="1"/>
    <x:col min="10" max="10" width="32" hidden="0" customWidth="1"/>
    <x:col min="11" max="11" width="16" hidden="0" customWidth="1"/>
    <x:col min="12" max="12" width="11" hidden="0" customWidth="1"/>
    <x:col min="13" max="13" width="46" hidden="0" customWidth="1"/>
  </x:cols>
  <x:sheetData>
    <x:row r="1" ht="38" customHeight="1">
      <x:c r="A1" s="31" t="str">
        <x:v>Company</x:v>
      </x:c>
      <x:c r="B1" s="31" t="str">
        <x:v>Role Title</x:v>
      </x:c>
      <x:c r="C1" s="31" t="str">
        <x:v>Location</x:v>
      </x:c>
      <x:c r="D1" s="31" t="str">
        <x:v>Experience</x:v>
      </x:c>
      <x:c r="E1" s="31" t="str">
        <x:v>Salary</x:v>
      </x:c>
      <x:c r="F1" s="31" t="str">
        <x:v>Qualifications</x:v>
      </x:c>
      <x:c r="G1" s="31" t="str">
        <x:v>Skills Required</x:v>
      </x:c>
      <x:c r="H1" s="31" t="str">
        <x:v>Direct Application Link</x:v>
      </x:c>
      <x:c r="I1" s="31" t="str">
        <x:v>Careers Link</x:v>
      </x:c>
      <x:c r="J1" s="31" t="str">
        <x:v>Recruiter / Contact</x:v>
      </x:c>
      <x:c r="K1" s="31" t="str">
        <x:v>Deadline</x:v>
      </x:c>
      <x:c r="L1" s="31" t="str">
        <x:v>Fit Score</x:v>
      </x:c>
      <x:c r="M1" s="31" t="str">
        <x:v>Source / Notes</x:v>
      </x:c>
      <x:c r="N1" s="26"/>
      <x:c r="O1" s="26"/>
      <x:c r="P1" s="26"/>
      <x:c r="Q1" s="26"/>
    </x:row>
    <x:row r="2" ht="38" customHeight="1">
      <x:c r="A2" s="26" t="str">
        <x:v>Greendzine Technologies</x:v>
      </x:c>
      <x:c r="B2" s="26" t="str">
        <x:v>Management Trainee Program</x:v>
      </x:c>
      <x:c r="C2" s="26" t="str">
        <x:v>Bengaluru South</x:v>
      </x:c>
      <x:c r="D2" s="26" t="str">
        <x:v>0–1 year</x:v>
      </x:c>
      <x:c r="E2" s="26" t="str">
        <x:v>₹6 LPA CTC (₹4.8L fixed + ₹1.2L incentive)</x:v>
      </x:c>
      <x:c r="F2" s="26" t="str">
        <x:v>BBA/BBM/B.Com/BA; CGPA &gt;7.0</x:v>
      </x:c>
      <x:c r="G2" s="26" t="str">
        <x:v>B2B sales; business development; presentations; CRM; customer engagement; travel</x:v>
      </x:c>
      <x:c r="H2" s="26" t="str">
        <x:v>https://to.indeed.com/aakm8k69khbn2</x:v>
      </x:c>
      <x:c r="I2" s="26" t="str">
        <x:v>https://www.greendzine.com/</x:v>
      </x:c>
      <x:c r="J2" s="26" t="str">
        <x:v>info@greendzine.in</x:v>
      </x:c>
      <x:c r="K2" s="26" t="str">
        <x:v>30-Sep-2026</x:v>
      </x:c>
      <x:c r="L2" s="36" t="n">
        <x:v>10</x:v>
      </x:c>
      <x:c r="M2" s="26" t="str">
        <x:v>12-month program; domestic/international travel; potential permanent role up to ₹10 LPA based on performance.</x:v>
      </x:c>
      <x:c r="N2" s="26"/>
      <x:c r="O2" s="26"/>
      <x:c r="P2" s="26"/>
      <x:c r="Q2" s="26"/>
    </x:row>
    <x:row r="3" ht="38" customHeight="1">
      <x:c r="A3" s="26" t="str">
        <x:v>KredX</x:v>
      </x:c>
      <x:c r="B3" s="26" t="str">
        <x:v>Corporate Sales Trainee</x:v>
      </x:c>
      <x:c r="C3" s="26" t="str">
        <x:v>Bengaluru</x:v>
      </x:c>
      <x:c r="D3" s="26" t="str">
        <x:v>Fresher</x:v>
      </x:c>
      <x:c r="E3" s="26" t="str">
        <x:v>Not disclosed</x:v>
      </x:c>
      <x:c r="F3" s="26" t="str">
        <x:v>Any graduate/postgraduate</x:v>
      </x:c>
      <x:c r="G3" s="26" t="str">
        <x:v>B2B prospecting; LinkedIn research; Excel; CRM; sales; client communication</x:v>
      </x:c>
      <x:c r="H3" s="26" t="str">
        <x:v>https://to.indeed.com/aapr6nnhmrdr</x:v>
      </x:c>
      <x:c r="I3" s="26" t="str">
        <x:v>https://www.kredx.com/join-our-team</x:v>
      </x:c>
      <x:c r="J3" s="26" t="str">
        <x:v>info@kredx.com | +91-8061799200 | 1800 419 4919</x:v>
      </x:c>
      <x:c r="K3" s="26" t="str">
        <x:v>Rolling</x:v>
      </x:c>
      <x:c r="L3" s="36" t="n">
        <x:v>9.8</x:v>
      </x:c>
      <x:c r="M3" s="26" t="str">
        <x:v>Strong International Business relevance via supply-chain finance and cross-border trade finance.</x:v>
      </x:c>
      <x:c r="N3" s="26"/>
      <x:c r="O3" s="26"/>
      <x:c r="P3" s="26"/>
      <x:c r="Q3" s="26"/>
    </x:row>
    <x:row r="4" ht="38" customHeight="1">
      <x:c r="A4" s="26" t="str">
        <x:v>Infineon Technologies</x:v>
      </x:c>
      <x:c r="B4" s="26" t="str">
        <x:v>International Graduate Program – Sales &amp; Business Development</x:v>
      </x:c>
      <x:c r="C4" s="26" t="str">
        <x:v>Bengaluru / Global rotations</x:v>
      </x:c>
      <x:c r="D4" s="26" t="str">
        <x:v>Graduate</x:v>
      </x:c>
      <x:c r="E4" s="26" t="str">
        <x:v>Not disclosed</x:v>
      </x:c>
      <x:c r="F4" s="26" t="str">
        <x:v>Bachelor’s/Master’s relevant to business role</x:v>
      </x:c>
      <x:c r="G4" s="26" t="str">
        <x:v>Sales; business development; analytical thinking; intercultural skills; English</x:v>
      </x:c>
      <x:c r="H4" s="26" t="str">
        <x:v>https://www.infineon.com/cms/en/careers/jobsearch/</x:v>
      </x:c>
      <x:c r="I4" s="26" t="str">
        <x:v>https://www.infineon.com/cms/en/careers/</x:v>
      </x:c>
      <x:c r="J4" s="26" t="str">
        <x:v>Not publicly listed</x:v>
      </x:c>
      <x:c r="K4" s="26" t="str">
        <x:v>Rolling</x:v>
      </x:c>
      <x:c r="L4" s="36" t="n">
        <x:v>9.7</x:v>
      </x:c>
      <x:c r="M4" s="26" t="str">
        <x:v>18-month international graduate program with 3–4 assignments including possible international assignment.</x:v>
      </x:c>
      <x:c r="N4" s="26"/>
      <x:c r="O4" s="26"/>
      <x:c r="P4" s="26"/>
      <x:c r="Q4" s="26"/>
    </x:row>
    <x:row r="5" ht="38" customHeight="1">
      <x:c r="A5" s="26" t="str">
        <x:v>Mydbops</x:v>
      </x:c>
      <x:c r="B5" s="26" t="str">
        <x:v>Business Development Executive</x:v>
      </x:c>
      <x:c r="C5" s="26" t="str">
        <x:v>Bengaluru</x:v>
      </x:c>
      <x:c r="D5" s="26" t="str">
        <x:v>Fresher / &lt;2 years</x:v>
      </x:c>
      <x:c r="E5" s="26" t="str">
        <x:v>₹4–5.5 LPA (reported in prior scan)</x:v>
      </x:c>
      <x:c r="F5" s="26" t="str">
        <x:v>Graduate / BBA relevant</x:v>
      </x:c>
      <x:c r="G5" s="26" t="str">
        <x:v>B2B sales; lead generation; client relationships; business development</x:v>
      </x:c>
      <x:c r="H5" s="26" t="str">
        <x:v>https://www.mydbops.com/careers</x:v>
      </x:c>
      <x:c r="I5" s="26" t="str">
        <x:v>https://www.mydbops.com/careers</x:v>
      </x:c>
      <x:c r="J5" s="26" t="str">
        <x:v>talent@mydbops.com</x:v>
      </x:c>
      <x:c r="K5" s="26" t="str">
        <x:v>Rolling</x:v>
      </x:c>
      <x:c r="L5" s="36" t="n">
        <x:v>9.3</x:v>
      </x:c>
      <x:c r="M5" s="26" t="str">
        <x:v>Global customers across US, Europe, Middle East and Southeast Asia.</x:v>
      </x:c>
      <x:c r="N5" s="26"/>
      <x:c r="O5" s="26"/>
      <x:c r="P5" s="26"/>
      <x:c r="Q5" s="26"/>
    </x:row>
    <x:row r="6" ht="38" customHeight="1">
      <x:c r="A6" s="26" t="str">
        <x:v>Shetron</x:v>
      </x:c>
      <x:c r="B6" s="26" t="str">
        <x:v>Commerce Graduate Trainee</x:v>
      </x:c>
      <x:c r="C6" s="26" t="str">
        <x:v>Bommasandra, Bengaluru</x:v>
      </x:c>
      <x:c r="D6" s="26" t="str">
        <x:v>Fresher</x:v>
      </x:c>
      <x:c r="E6" s="26" t="str">
        <x:v>₹15,000–25,000/month</x:v>
      </x:c>
      <x:c r="F6" s="26" t="str">
        <x:v>Commerce/business graduate</x:v>
      </x:c>
      <x:c r="G6" s="26" t="str">
        <x:v>Excel; purchase orders; vendor coordination; inventory; commercial operations</x:v>
      </x:c>
      <x:c r="H6" s="26" t="str">
        <x:v>https://in.indeed.com/</x:v>
      </x:c>
      <x:c r="I6" s="26" t="str">
        <x:v>https://shetrom.com/</x:v>
      </x:c>
      <x:c r="J6" s="26" t="str">
        <x:v>Not publicly listed</x:v>
      </x:c>
      <x:c r="K6" s="26" t="str">
        <x:v>Rolling</x:v>
      </x:c>
      <x:c r="L6" s="36" t="n">
        <x:v>9.2</x:v>
      </x:c>
      <x:c r="M6" s="26" t="str">
        <x:v>Functions include procurement, stores, admin, HR and commercial operations.</x:v>
      </x:c>
      <x:c r="N6" s="26"/>
      <x:c r="O6" s="26"/>
      <x:c r="P6" s="26"/>
      <x:c r="Q6" s="26"/>
    </x:row>
    <x:row r="7" ht="38" customHeight="1">
      <x:c r="A7" s="26" t="str">
        <x:v>Amvi Supply Chain Solutions</x:v>
      </x:c>
      <x:c r="B7" s="26" t="str">
        <x:v>Business Development Associate</x:v>
      </x:c>
      <x:c r="C7" s="26" t="str">
        <x:v>Bengaluru</x:v>
      </x:c>
      <x:c r="D7" s="26" t="str">
        <x:v>BBA grads / internship experience considered</x:v>
      </x:c>
      <x:c r="E7" s="26" t="str">
        <x:v>₹20,000–35,000/month</x:v>
      </x:c>
      <x:c r="F7" s="26" t="str">
        <x:v>BBA / relevant graduate</x:v>
      </x:c>
      <x:c r="G7" s="26" t="str">
        <x:v>B2B logistics; procurement/supply chain selling; Excel; PowerPoint; CRM; LinkedIn prospecting</x:v>
      </x:c>
      <x:c r="H7" s="26" t="str">
        <x:v>https://to.indeed.com/aakb8cjt4cqd</x:v>
      </x:c>
      <x:c r="I7" s="26" t="str">
        <x:v>https://www.amvi.co/</x:v>
      </x:c>
      <x:c r="J7" s="26" t="str">
        <x:v>Not publicly listed</x:v>
      </x:c>
      <x:c r="K7" s="26" t="str">
        <x:v>Rolling</x:v>
      </x:c>
      <x:c r="L7" s="36" t="n">
        <x:v>9.2</x:v>
      </x:c>
      <x:c r="M7" s="26" t="str">
        <x:v>Strong bridge from BBA International Business into logistics and B2B sales.</x:v>
      </x:c>
      <x:c r="N7" s="26"/>
      <x:c r="O7" s="26"/>
      <x:c r="P7" s="26"/>
      <x:c r="Q7" s="26"/>
    </x:row>
    <x:row r="8" ht="38" customHeight="1">
      <x:c r="A8" s="26" t="str">
        <x:v>Jayshree Industries</x:v>
      </x:c>
      <x:c r="B8" s="26" t="str">
        <x:v>Business Development Executive – Export-Import / EXIM</x:v>
      </x:c>
      <x:c r="C8" s="26" t="str">
        <x:v>Richmond Town, Bengaluru</x:v>
      </x:c>
      <x:c r="D8" s="26" t="str">
        <x:v>Fresher–1 year</x:v>
      </x:c>
      <x:c r="E8" s="26" t="str">
        <x:v>₹25,000–30,000/month</x:v>
      </x:c>
      <x:c r="F8" s="26" t="str">
        <x:v>Graduate</x:v>
      </x:c>
      <x:c r="G8" s="26" t="str">
        <x:v>International business; global trade; business development; communication</x:v>
      </x:c>
      <x:c r="H8" s="26" t="str">
        <x:v>https://in.indeed.com/</x:v>
      </x:c>
      <x:c r="I8" s="26" t="str">
        <x:v>Not publicly listed</x:v>
      </x:c>
      <x:c r="J8" s="26" t="str">
        <x:v>Not publicly listed</x:v>
      </x:c>
      <x:c r="K8" s="26" t="str">
        <x:v>Rolling</x:v>
      </x:c>
      <x:c r="L8" s="36" t="n">
        <x:v>10</x:v>
      </x:c>
      <x:c r="M8" s="26" t="str">
        <x:v>Direct export-import/global trade relevance; verify exact live Bangalore requisition before applying.</x:v>
      </x:c>
      <x:c r="N8" s="26"/>
      <x:c r="O8" s="26"/>
      <x:c r="P8" s="26"/>
      <x:c r="Q8" s="26"/>
    </x:row>
    <x:row r="9" ht="38" customHeight="1">
      <x:c r="A9" s="26" t="str">
        <x:v>First Citizens India</x:v>
      </x:c>
      <x:c r="B9" s="26" t="str">
        <x:v>Apprentice – Enterprise Operations</x:v>
      </x:c>
      <x:c r="C9" s="26" t="str">
        <x:v>Bengaluru</x:v>
      </x:c>
      <x:c r="D9" s="26" t="str">
        <x:v>Fresher; 2025/2026 graduates</x:v>
      </x:c>
      <x:c r="E9" s="26" t="str">
        <x:v>Not disclosed</x:v>
      </x:c>
      <x:c r="F9" s="26" t="str">
        <x:v>Graduate</x:v>
      </x:c>
      <x:c r="G9" s="26" t="str">
        <x:v>Banking operations; KYC; payments; onboarding; fraud-prevention operations</x:v>
      </x:c>
      <x:c r="H9" s="26" t="str">
        <x:v>https://svb.wd5.myworkdayjobs.com/en-US/firstcitizensindia/job/Apprentice---Enterprise-Operations_24763</x:v>
      </x:c>
      <x:c r="I9" s="26" t="str">
        <x:v>https://www.firstcitizens.com/careers</x:v>
      </x:c>
      <x:c r="J9" s="26" t="str">
        <x:v>Not publicly listed</x:v>
      </x:c>
      <x:c r="K9" s="26" t="str">
        <x:v>Verify live requisition</x:v>
      </x:c>
      <x:c r="L9" s="36" t="n">
        <x:v>9.7</x:v>
      </x:c>
      <x:c r="M9" s="26" t="str">
        <x:v>Strong banking/GCC entry point; public sources previously showed conflicting close dates.</x:v>
      </x:c>
      <x:c r="N9" s="26"/>
      <x:c r="O9" s="26"/>
      <x:c r="P9" s="26"/>
      <x:c r="Q9" s="26"/>
    </x:row>
    <x:row r="10" ht="38" customHeight="1">
      <x:c r="A10" s="26" t="str">
        <x:v>Accenture</x:v>
      </x:c>
      <x:c r="B10" s="26" t="str">
        <x:v>Procurement Practice – New Associate</x:v>
      </x:c>
      <x:c r="C10" s="26" t="str">
        <x:v>Bengaluru</x:v>
      </x:c>
      <x:c r="D10" s="26" t="str">
        <x:v>0–1 year</x:v>
      </x:c>
      <x:c r="E10" s="26" t="str">
        <x:v>Not disclosed</x:v>
      </x:c>
      <x:c r="F10" s="26" t="str">
        <x:v>BBA/B.Com/any graduation</x:v>
      </x:c>
      <x:c r="G10" s="26" t="str">
        <x:v>Procurement; operations; stakeholder management; Excel</x:v>
      </x:c>
      <x:c r="H10" s="26" t="str">
        <x:v>https://www.bayt.com/en/india/jobs/procurement-practice-new-associate-74253954/</x:v>
      </x:c>
      <x:c r="I10" s="26" t="str">
        <x:v>https://www.accenture.com/in-en/careers</x:v>
      </x:c>
      <x:c r="J10" s="26" t="str">
        <x:v>Not publicly listed</x:v>
      </x:c>
      <x:c r="K10" s="26" t="str">
        <x:v>Rolling</x:v>
      </x:c>
      <x:c r="L10" s="36" t="n">
        <x:v>9.5</x:v>
      </x:c>
      <x:c r="M10" s="26" t="str">
        <x:v>Direct procurement-operations path within a global consulting firm.</x:v>
      </x:c>
      <x:c r="N10" s="26"/>
      <x:c r="O10" s="26"/>
      <x:c r="P10" s="26"/>
      <x:c r="Q10" s="26"/>
    </x:row>
    <x:row r="11" ht="38" customHeight="1">
      <x:c r="A11" s="26" t="str">
        <x:v>Accenture</x:v>
      </x:c>
      <x:c r="B11" s="26" t="str">
        <x:v>Procure-to-Pay Operations – New Associate</x:v>
      </x:c>
      <x:c r="C11" s="26" t="str">
        <x:v>Bengaluru</x:v>
      </x:c>
      <x:c r="D11" s="26" t="str">
        <x:v>0–1 year</x:v>
      </x:c>
      <x:c r="E11" s="26" t="str">
        <x:v>Not disclosed</x:v>
      </x:c>
      <x:c r="F11" s="26" t="str">
        <x:v>BBA/B.Com/any graduation</x:v>
      </x:c>
      <x:c r="G11" s="26" t="str">
        <x:v>P2P; procurement; finance operations; ERP; reporting</x:v>
      </x:c>
      <x:c r="H11" s="26" t="str">
        <x:v>https://getmereferred.com/in/job-listing/procure-to-pay-operations-new-associate-accenture-inkabengaluru-to-3-years-experience-dfa4b245-c39f-4bcf-938c-ebbc53f06668</x:v>
      </x:c>
      <x:c r="I11" s="26" t="str">
        <x:v>https://www.accenture.com/in-en/careers</x:v>
      </x:c>
      <x:c r="J11" s="26" t="str">
        <x:v>Not publicly listed</x:v>
      </x:c>
      <x:c r="K11" s="26" t="str">
        <x:v>Rolling</x:v>
      </x:c>
      <x:c r="L11" s="36" t="n">
        <x:v>9.4</x:v>
      </x:c>
      <x:c r="M11" s="26" t="str">
        <x:v>Strong shared-services entry point for procurement and global operations.</x:v>
      </x:c>
      <x:c r="N11" s="26"/>
      <x:c r="O11" s="26"/>
      <x:c r="P11" s="26"/>
      <x:c r="Q11" s="26"/>
    </x:row>
    <x:row r="12" ht="38" customHeight="1">
      <x:c r="A12" s="26" t="str">
        <x:v>Ray Group of Company</x:v>
      </x:c>
      <x:c r="B12" s="26" t="str">
        <x:v>Purchase Officer</x:v>
      </x:c>
      <x:c r="C12" s="26" t="str">
        <x:v>Bengaluru</x:v>
      </x:c>
      <x:c r="D12" s="26" t="str">
        <x:v>0–1 year</x:v>
      </x:c>
      <x:c r="E12" s="26" t="str">
        <x:v>Not disclosed</x:v>
      </x:c>
      <x:c r="F12" s="26" t="str">
        <x:v>BBA / graduate</x:v>
      </x:c>
      <x:c r="G12" s="26" t="str">
        <x:v>Procurement; vendor negotiation; purchase orders; inventory; ERP/SAP</x:v>
      </x:c>
      <x:c r="H12" s="26" t="str">
        <x:v>https://in.indeed.com/</x:v>
      </x:c>
      <x:c r="I12" s="26" t="str">
        <x:v>Not publicly listed</x:v>
      </x:c>
      <x:c r="J12" s="26" t="str">
        <x:v>Not publicly listed</x:v>
      </x:c>
      <x:c r="K12" s="26" t="str">
        <x:v>Rolling</x:v>
      </x:c>
      <x:c r="L12" s="36" t="n">
        <x:v>9.2</x:v>
      </x:c>
      <x:c r="M12" s="26" t="str">
        <x:v>Direct procurement experience.</x:v>
      </x:c>
      <x:c r="N12" s="26"/>
      <x:c r="O12" s="26"/>
      <x:c r="P12" s="26"/>
      <x:c r="Q12" s="26"/>
    </x:row>
    <x:row r="13" ht="38" customHeight="1">
      <x:c r="A13" s="26" t="str">
        <x:v>CityGreens</x:v>
      </x:c>
      <x:c r="B13" s="26" t="str">
        <x:v>Operations Executive</x:v>
      </x:c>
      <x:c r="C13" s="26" t="str">
        <x:v>Bengaluru South</x:v>
      </x:c>
      <x:c r="D13" s="26" t="str">
        <x:v>0–1 year</x:v>
      </x:c>
      <x:c r="E13" s="26" t="str">
        <x:v>₹25,000/month</x:v>
      </x:c>
      <x:c r="F13" s="26" t="str">
        <x:v>BBA / graduate</x:v>
      </x:c>
      <x:c r="G13" s="26" t="str">
        <x:v>Procurement; supply chain; e-commerce; cross-office coordination</x:v>
      </x:c>
      <x:c r="H13" s="26" t="str">
        <x:v>https://in.indeed.com/</x:v>
      </x:c>
      <x:c r="I13" s="26" t="str">
        <x:v>https://www.citygreens.com/</x:v>
      </x:c>
      <x:c r="J13" s="26" t="str">
        <x:v>Not publicly listed</x:v>
      </x:c>
      <x:c r="K13" s="26" t="str">
        <x:v>Rolling</x:v>
      </x:c>
      <x:c r="L13" s="36" t="n">
        <x:v>9.1</x:v>
      </x:c>
      <x:c r="M13" s="26" t="str">
        <x:v>Good operations + supply chain exposure.</x:v>
      </x:c>
      <x:c r="N13" s="26"/>
      <x:c r="O13" s="26"/>
      <x:c r="P13" s="26"/>
      <x:c r="Q13" s="26"/>
    </x:row>
    <x:row r="14" ht="38" customHeight="1">
      <x:c r="A14" s="26" t="str">
        <x:v>ValetEZ</x:v>
      </x:c>
      <x:c r="B14" s="26" t="str">
        <x:v>Project Coordinator – Deployment Operations</x:v>
      </x:c>
      <x:c r="C14" s="26" t="str">
        <x:v>Ramamurthy Nagar, Bengaluru</x:v>
      </x:c>
      <x:c r="D14" s="26" t="str">
        <x:v>Freshers may apply</x:v>
      </x:c>
      <x:c r="E14" s="26" t="str">
        <x:v>₹12,000–15,000/month</x:v>
      </x:c>
      <x:c r="F14" s="26" t="str">
        <x:v>BBA/Commerce/Supply Chain/Operations</x:v>
      </x:c>
      <x:c r="G14" s="26" t="str">
        <x:v>Excel; Google Sheets; inventory; documentation; vendor coordination; import/export documentation</x:v>
      </x:c>
      <x:c r="H14" s="26" t="str">
        <x:v>https://to.indeed.com/aayhn24fbtxf</x:v>
      </x:c>
      <x:c r="I14" s="26" t="str">
        <x:v>https://www.valetez.com/</x:v>
      </x:c>
      <x:c r="J14" s="26" t="str">
        <x:v>Not publicly listed</x:v>
      </x:c>
      <x:c r="K14" s="26" t="str">
        <x:v>Rolling</x:v>
      </x:c>
      <x:c r="L14" s="36" t="n">
        <x:v>9</x:v>
      </x:c>
      <x:c r="M14" s="26" t="str">
        <x:v>Very relevant work, but low compensation.</x:v>
      </x:c>
      <x:c r="N14" s="26"/>
      <x:c r="O14" s="26"/>
      <x:c r="P14" s="26"/>
      <x:c r="Q14" s="26"/>
    </x:row>
    <x:row r="15" ht="38" customHeight="1">
      <x:c r="A15" s="26" t="str">
        <x:v>TIF Labs</x:v>
      </x:c>
      <x:c r="B15" s="26" t="str">
        <x:v>Logistics Associate</x:v>
      </x:c>
      <x:c r="C15" s="26" t="str">
        <x:v>Kalyan Nagar, Bengaluru</x:v>
      </x:c>
      <x:c r="D15" s="26" t="str">
        <x:v>2+ years preferred</x:v>
      </x:c>
      <x:c r="E15" s="26" t="str">
        <x:v>Up to ₹35,000/month</x:v>
      </x:c>
      <x:c r="F15" s="26" t="str">
        <x:v>BBA/International Business/Logistics/Supply Chain</x:v>
      </x:c>
      <x:c r="G15" s="26" t="str">
        <x:v>Import shipments; customs; DGFT; HSN; Incoterms; freight forwarders; shipping documents</x:v>
      </x:c>
      <x:c r="H15" s="26" t="str">
        <x:v>https://to.indeed.com/aa4bjfjtnys6</x:v>
      </x:c>
      <x:c r="I15" s="26" t="str">
        <x:v>Not publicly listed</x:v>
      </x:c>
      <x:c r="J15" s="26" t="str">
        <x:v>Not publicly listed</x:v>
      </x:c>
      <x:c r="K15" s="26" t="str">
        <x:v>Rolling</x:v>
      </x:c>
      <x:c r="L15" s="36" t="n">
        <x:v>9.5</x:v>
      </x:c>
      <x:c r="M15" s="26" t="str">
        <x:v>Excellent technical trade/logistics relevance; stretch role for fresher.</x:v>
      </x:c>
      <x:c r="N15" s="26"/>
      <x:c r="O15" s="26"/>
      <x:c r="P15" s="26"/>
      <x:c r="Q15" s="26"/>
    </x:row>
    <x:row r="16" ht="38" customHeight="1">
      <x:c r="A16" s="26" t="str">
        <x:v>Tradepass</x:v>
      </x:c>
      <x:c r="B16" s="26" t="str">
        <x:v>Business Development Executive</x:v>
      </x:c>
      <x:c r="C16" s="26" t="str">
        <x:v>Bengaluru</x:v>
      </x:c>
      <x:c r="D16" s="26" t="str">
        <x:v>Fresher</x:v>
      </x:c>
      <x:c r="E16" s="26" t="str">
        <x:v>₹25,000–35,000/month</x:v>
      </x:c>
      <x:c r="F16" s="26" t="str">
        <x:v>Graduate</x:v>
      </x:c>
      <x:c r="G16" s="26" t="str">
        <x:v>B2B delegate sales; executive prospecting; CRM; international markets; travel</x:v>
      </x:c>
      <x:c r="H16" s="26" t="str">
        <x:v>https://to.indeed.com/aay9gc8k7vhx</x:v>
      </x:c>
      <x:c r="I16" s="26" t="str">
        <x:v>https://tradepassglobal.com/</x:v>
      </x:c>
      <x:c r="J16" s="26" t="str">
        <x:v>Not publicly listed</x:v>
      </x:c>
      <x:c r="K16" s="26" t="str">
        <x:v>Rolling</x:v>
      </x:c>
      <x:c r="L16" s="36" t="n">
        <x:v>9.2</x:v>
      </x:c>
      <x:c r="M16" s="26" t="str">
        <x:v>International markets and potential international travel.</x:v>
      </x:c>
      <x:c r="N16" s="26"/>
      <x:c r="O16" s="26"/>
      <x:c r="P16" s="26"/>
      <x:c r="Q16" s="26"/>
    </x:row>
    <x:row r="17" ht="38" customHeight="1">
      <x:c r="A17" s="26" t="str">
        <x:v>BrightCHAMPS</x:v>
      </x:c>
      <x:c r="B17" s="26" t="str">
        <x:v>Business Development Executive – International Sales</x:v>
      </x:c>
      <x:c r="C17" s="26" t="str">
        <x:v>HSR Layout, Bengaluru</x:v>
      </x:c>
      <x:c r="D17" s="26" t="str">
        <x:v>0–3 years / freshers</x:v>
      </x:c>
      <x:c r="E17" s="26" t="str">
        <x:v>₹3.5–4.6 LPA + incentives</x:v>
      </x:c>
      <x:c r="F17" s="26" t="str">
        <x:v>Graduate</x:v>
      </x:c>
      <x:c r="G17" s="26" t="str">
        <x:v>International sales; CRM; negotiation; customer acquisition</x:v>
      </x:c>
      <x:c r="H17" s="26" t="str">
        <x:v>https://to.indeed.com/aadmxwghbcvp</x:v>
      </x:c>
      <x:c r="I17" s="26" t="str">
        <x:v>https://brightchamps.com/careers</x:v>
      </x:c>
      <x:c r="J17" s="26" t="str">
        <x:v>Not publicly listed</x:v>
      </x:c>
      <x:c r="K17" s="26" t="str">
        <x:v>Rolling</x:v>
      </x:c>
      <x:c r="L17" s="36" t="n">
        <x:v>8.8</x:v>
      </x:c>
      <x:c r="M17" s="26" t="str">
        <x:v>Strong international-market exposure; six-day schedule noted in prior scan.</x:v>
      </x:c>
      <x:c r="N17" s="26"/>
      <x:c r="O17" s="26"/>
      <x:c r="P17" s="26"/>
      <x:c r="Q17" s="26"/>
    </x:row>
    <x:row r="18" ht="38" customHeight="1">
      <x:c r="A18" s="26" t="str">
        <x:v>MHS</x:v>
      </x:c>
      <x:c r="B18" s="26" t="str">
        <x:v>Business Development Executive</x:v>
      </x:c>
      <x:c r="C18" s="26" t="str">
        <x:v>Bengaluru</x:v>
      </x:c>
      <x:c r="D18" s="26" t="str">
        <x:v>Fresher–3 years</x:v>
      </x:c>
      <x:c r="E18" s="26" t="str">
        <x:v>₹3–5 LPA</x:v>
      </x:c>
      <x:c r="F18" s="26" t="str">
        <x:v>BBA/B.Com/BCA/MBA/graduate</x:v>
      </x:c>
      <x:c r="G18" s="26" t="str">
        <x:v>Lead generation; CRM; client relationships; sales</x:v>
      </x:c>
      <x:c r="H18" s="26" t="str">
        <x:v>https://to.indeed.com/aa7lqzzmnvc</x:v>
      </x:c>
      <x:c r="I18" s="26" t="str">
        <x:v>Not publicly listed</x:v>
      </x:c>
      <x:c r="J18" s="26" t="str">
        <x:v>sony@myhaulstore.com | 8296015762</x:v>
      </x:c>
      <x:c r="K18" s="26" t="str">
        <x:v>Rolling</x:v>
      </x:c>
      <x:c r="L18" s="36" t="n">
        <x:v>8.5</x:v>
      </x:c>
      <x:c r="M18" s="26" t="str">
        <x:v>Direct contact published in prior scan.</x:v>
      </x:c>
      <x:c r="N18" s="26"/>
      <x:c r="O18" s="26"/>
      <x:c r="P18" s="26"/>
      <x:c r="Q18" s="26"/>
    </x:row>
    <x:row r="19" ht="38" customHeight="1">
      <x:c r="A19" s="26" t="str">
        <x:v>Dlife Interiors</x:v>
      </x:c>
      <x:c r="B19" s="26" t="str">
        <x:v>Business Development Associate</x:v>
      </x:c>
      <x:c r="C19" s="26" t="str">
        <x:v>Bengaluru</x:v>
      </x:c>
      <x:c r="D19" s="26" t="str">
        <x:v>Fresher / 1–2 years</x:v>
      </x:c>
      <x:c r="E19" s="26" t="str">
        <x:v>₹28,000–33,000/month</x:v>
      </x:c>
      <x:c r="F19" s="26" t="str">
        <x:v>BBA / MBA Sales &amp; Marketing</x:v>
      </x:c>
      <x:c r="G19" s="26" t="str">
        <x:v>Lead generation; relationships; market knowledge; Excel</x:v>
      </x:c>
      <x:c r="H19" s="26" t="str">
        <x:v>https://to.indeed.com/aaswvdhscvqy</x:v>
      </x:c>
      <x:c r="I19" s="26" t="str">
        <x:v>Not publicly listed</x:v>
      </x:c>
      <x:c r="J19" s="26" t="str">
        <x:v>Not publicly listed</x:v>
      </x:c>
      <x:c r="K19" s="26" t="str">
        <x:v>Rolling</x:v>
      </x:c>
      <x:c r="L19" s="36" t="n">
        <x:v>8.3</x:v>
      </x:c>
      <x:c r="M19" s="26" t="str">
        <x:v>Good commercial/sales foundation.</x:v>
      </x:c>
      <x:c r="N19" s="26"/>
      <x:c r="O19" s="26"/>
      <x:c r="P19" s="26"/>
      <x:c r="Q19" s="26"/>
    </x:row>
    <x:row r="20" ht="38" customHeight="1">
      <x:c r="A20" s="26" t="str">
        <x:v>Rohana Veterinary Diagnostic Lab</x:v>
      </x:c>
      <x:c r="B20" s="26" t="str">
        <x:v>Business Development Executive</x:v>
      </x:c>
      <x:c r="C20" s="26" t="str">
        <x:v>Sanjay Nagar, Bengaluru</x:v>
      </x:c>
      <x:c r="D20" s="26" t="str">
        <x:v>0–3 years</x:v>
      </x:c>
      <x:c r="E20" s="26" t="str">
        <x:v>₹19,000–30,000/month</x:v>
      </x:c>
      <x:c r="F20" s="26" t="str">
        <x:v>BBA/B.Com/B.Sc/non-IT bachelor’s</x:v>
      </x:c>
      <x:c r="G20" s="26" t="str">
        <x:v>Lead generation; client visits; relationship management</x:v>
      </x:c>
      <x:c r="H20" s="26" t="str">
        <x:v>https://to.indeed.com/aa4ztmfnp64f</x:v>
      </x:c>
      <x:c r="I20" s="26" t="str">
        <x:v>Not publicly listed</x:v>
      </x:c>
      <x:c r="J20" s="26" t="str">
        <x:v>9480880919 | 9480880921</x:v>
      </x:c>
      <x:c r="K20" s="26" t="str">
        <x:v>Rolling</x:v>
      </x:c>
      <x:c r="L20" s="36" t="n">
        <x:v>7.8</x:v>
      </x:c>
      <x:c r="M20" s="26" t="str">
        <x:v>Fresher-friendly; lower International Business relevance.</x:v>
      </x:c>
      <x:c r="N20" s="26"/>
      <x:c r="O20" s="26"/>
      <x:c r="P20" s="26"/>
      <x:c r="Q20" s="26"/>
    </x:row>
    <x:row r="21" ht="38" customHeight="1">
      <x:c r="A21" s="26" t="str">
        <x:v>Consultants Factory</x:v>
      </x:c>
      <x:c r="B21" s="26" t="str">
        <x:v>Trainee Business Development Executive</x:v>
      </x:c>
      <x:c r="C21" s="26" t="str">
        <x:v>Bannerghatta, Bengaluru</x:v>
      </x:c>
      <x:c r="D21" s="26" t="str">
        <x:v>Fresher</x:v>
      </x:c>
      <x:c r="E21" s="26" t="str">
        <x:v>₹15,000–25,000/month</x:v>
      </x:c>
      <x:c r="F21" s="26" t="str">
        <x:v>BBA/B.Com/MBA</x:v>
      </x:c>
      <x:c r="G21" s="26" t="str">
        <x:v>Excel; MS Office; English; lead management; full sales cycle</x:v>
      </x:c>
      <x:c r="H21" s="26" t="str">
        <x:v>https://to.indeed.com/aa4zvc6yqzr9</x:v>
      </x:c>
      <x:c r="I21" s="26" t="str">
        <x:v>Not publicly listed</x:v>
      </x:c>
      <x:c r="J21" s="26" t="str">
        <x:v>Not publicly listed</x:v>
      </x:c>
      <x:c r="K21" s="26" t="str">
        <x:v>Rolling</x:v>
      </x:c>
      <x:c r="L21" s="36" t="n">
        <x:v>8.7</x:v>
      </x:c>
      <x:c r="M21" s="26" t="str">
        <x:v>Company serves India, EMEA, Europe and US clients.</x:v>
      </x:c>
      <x:c r="N21" s="26"/>
      <x:c r="O21" s="26"/>
      <x:c r="P21" s="26"/>
      <x:c r="Q21" s="26"/>
    </x:row>
    <x:row r="22" ht="38" customHeight="1">
      <x:c r="A22" s="26" t="str">
        <x:v>TechKshetra Info Solutions</x:v>
      </x:c>
      <x:c r="B22" s="26" t="str">
        <x:v>IT Sales Executive / Business Development Executive</x:v>
      </x:c>
      <x:c r="C22" s="26" t="str">
        <x:v>Bangalore</x:v>
      </x:c>
      <x:c r="D22" s="26" t="str">
        <x:v>0–1 year / fresher</x:v>
      </x:c>
      <x:c r="E22" s="26" t="str">
        <x:v>₹3–5.5 LPA + uncapped incentives</x:v>
      </x:c>
      <x:c r="F22" s="26" t="str">
        <x:v>BBA/B.Com/any graduate</x:v>
      </x:c>
      <x:c r="G22" s="26" t="str">
        <x:v>B2B SaaS; AI/ERP sales; outbound sales; CRM; email/WhatsApp follow-up</x:v>
      </x:c>
      <x:c r="H22" s="26" t="str">
        <x:v>https://to.indeed.com/aazmd6jh7vnz</x:v>
      </x:c>
      <x:c r="I22" s="26" t="str">
        <x:v>https://techkshetrainfo.com/</x:v>
      </x:c>
      <x:c r="J22" s="26" t="str">
        <x:v>hr@techkshetrainfo.com | 7090178889</x:v>
      </x:c>
      <x:c r="K22" s="26" t="str">
        <x:v>Rolling</x:v>
      </x:c>
      <x:c r="L22" s="36" t="n">
        <x:v>9</x:v>
      </x:c>
      <x:c r="M22" s="26" t="str">
        <x:v>Strong AI + corporate sales option; BBA explicitly accepted.</x:v>
      </x:c>
      <x:c r="N22" s="26"/>
      <x:c r="O22" s="26"/>
      <x:c r="P22" s="26"/>
      <x:c r="Q22" s="26"/>
    </x:row>
    <x:row r="23" ht="38" customHeight="1">
      <x:c r="A23" s="26" t="str">
        <x:v>Potful India</x:v>
      </x:c>
      <x:c r="B23" s="26" t="str">
        <x:v>Customer Support &amp; Business Analyst Executive</x:v>
      </x:c>
      <x:c r="C23" s="26" t="str">
        <x:v>Bengaluru</x:v>
      </x:c>
      <x:c r="D23" s="26" t="str">
        <x:v>Fresher</x:v>
      </x:c>
      <x:c r="E23" s="26" t="str">
        <x:v>₹19,000–20,000/month</x:v>
      </x:c>
      <x:c r="F23" s="26" t="str">
        <x:v>BBA</x:v>
      </x:c>
      <x:c r="G23" s="26" t="str">
        <x:v>Excel/Sheets; KPI reporting; operations; business analysis</x:v>
      </x:c>
      <x:c r="H23" s="26" t="str">
        <x:v>https://in.indeed.com/</x:v>
      </x:c>
      <x:c r="I23" s="26" t="str">
        <x:v>Not publicly listed</x:v>
      </x:c>
      <x:c r="J23" s="26" t="str">
        <x:v>Not publicly listed</x:v>
      </x:c>
      <x:c r="K23" s="26" t="str">
        <x:v>Rolling</x:v>
      </x:c>
      <x:c r="L23" s="36" t="n">
        <x:v>8.8</x:v>
      </x:c>
      <x:c r="M23" s="26" t="str">
        <x:v>Good business-analytics/operations foundation.</x:v>
      </x:c>
      <x:c r="N23" s="26"/>
      <x:c r="O23" s="26"/>
      <x:c r="P23" s="26"/>
      <x:c r="Q23" s="26"/>
    </x:row>
    <x:row r="24" ht="38" customHeight="1">
      <x:c r="A24" s="26" t="str">
        <x:v>Quest For Nest</x:v>
      </x:c>
      <x:c r="B24" s="26" t="str">
        <x:v>Business Development Associate</x:v>
      </x:c>
      <x:c r="C24" s="26" t="str">
        <x:v>Bengaluru</x:v>
      </x:c>
      <x:c r="D24" s="26" t="str">
        <x:v>0–2 years</x:v>
      </x:c>
      <x:c r="E24" s="26" t="str">
        <x:v>₹25,000/month</x:v>
      </x:c>
      <x:c r="F24" s="26" t="str">
        <x:v>Graduate / BBA preferred</x:v>
      </x:c>
      <x:c r="G24" s="26" t="str">
        <x:v>Lead generation; sales; CRM; customer relationships</x:v>
      </x:c>
      <x:c r="H24" s="26" t="str">
        <x:v>https://in.indeed.com/</x:v>
      </x:c>
      <x:c r="I24" s="26" t="str">
        <x:v>Not publicly listed</x:v>
      </x:c>
      <x:c r="J24" s="26" t="str">
        <x:v>Not publicly listed</x:v>
      </x:c>
      <x:c r="K24" s="26" t="str">
        <x:v>12-Sep-2026</x:v>
      </x:c>
      <x:c r="L24" s="36" t="n">
        <x:v>8.7</x:v>
      </x:c>
      <x:c r="M24" s="26" t="str">
        <x:v>Recently posted in prior scan; deadline explicitly listed.</x:v>
      </x:c>
      <x:c r="N24" s="26"/>
      <x:c r="O24" s="26"/>
      <x:c r="P24" s="26"/>
      <x:c r="Q24" s="26"/>
    </x:row>
    <x:row r="25" ht="38" customHeight="1">
      <x:c r="A25" s="26" t="str">
        <x:v>Stone Oak Strategy</x:v>
      </x:c>
      <x:c r="B25" s="26" t="str">
        <x:v>Relationship Manager – Retail Investors</x:v>
      </x:c>
      <x:c r="C25" s="26" t="str">
        <x:v>Bengaluru</x:v>
      </x:c>
      <x:c r="D25" s="26" t="str">
        <x:v>Fresher</x:v>
      </x:c>
      <x:c r="E25" s="26" t="str">
        <x:v>₹3.5–4.5 LPA</x:v>
      </x:c>
      <x:c r="F25" s="26" t="str">
        <x:v>BBA accepted</x:v>
      </x:c>
      <x:c r="G25" s="26" t="str">
        <x:v>Client management; financial services; relationship building</x:v>
      </x:c>
      <x:c r="H25" s="26" t="str">
        <x:v>https://in.indeed.com/</x:v>
      </x:c>
      <x:c r="I25" s="26" t="str">
        <x:v>Not publicly listed</x:v>
      </x:c>
      <x:c r="J25" s="26" t="str">
        <x:v>Not publicly listed</x:v>
      </x:c>
      <x:c r="K25" s="26" t="str">
        <x:v>05-Sep-2026</x:v>
      </x:c>
      <x:c r="L25" s="36" t="n">
        <x:v>8.4</x:v>
      </x:c>
      <x:c r="M25" s="26" t="str">
        <x:v>Finance/client-management route.</x:v>
      </x:c>
      <x:c r="N25" s="26"/>
      <x:c r="O25" s="26"/>
      <x:c r="P25" s="26"/>
      <x:c r="Q25" s="26"/>
    </x:row>
    <x:row r="26" ht="38" customHeight="1">
      <x:c r="A26" s="26" t="str">
        <x:v>Furlenco</x:v>
      </x:c>
      <x:c r="B26" s="26" t="str">
        <x:v>Operations Associate</x:v>
      </x:c>
      <x:c r="C26" s="26" t="str">
        <x:v>Bengaluru</x:v>
      </x:c>
      <x:c r="D26" s="26" t="str">
        <x:v>Fresher</x:v>
      </x:c>
      <x:c r="E26" s="26" t="str">
        <x:v>₹2–3 LPA</x:v>
      </x:c>
      <x:c r="F26" s="26" t="str">
        <x:v>Graduate</x:v>
      </x:c>
      <x:c r="G26" s="26" t="str">
        <x:v>Supply-chain scheduling; operations</x:v>
      </x:c>
      <x:c r="H26" s="26" t="str">
        <x:v>https://in.indeed.com/</x:v>
      </x:c>
      <x:c r="I26" s="26" t="str">
        <x:v>https://furlenco.com/</x:v>
      </x:c>
      <x:c r="J26" s="26" t="str">
        <x:v>Not publicly listed</x:v>
      </x:c>
      <x:c r="K26" s="26" t="str">
        <x:v>06-Sep-2026</x:v>
      </x:c>
      <x:c r="L26" s="36" t="n">
        <x:v>8.3</x:v>
      </x:c>
      <x:c r="M26" s="26" t="str">
        <x:v>Good operations entry point.</x:v>
      </x:c>
      <x:c r="N26" s="26"/>
      <x:c r="O26" s="26"/>
      <x:c r="P26" s="26"/>
      <x:c r="Q26" s="26"/>
    </x:row>
    <x:row r="27" ht="38" customHeight="1">
      <x:c r="A27" s="26" t="str">
        <x:v>Dezerv</x:v>
      </x:c>
      <x:c r="B27" s="26" t="str">
        <x:v>Business Development Associate</x:v>
      </x:c>
      <x:c r="C27" s="26" t="str">
        <x:v>Bengaluru</x:v>
      </x:c>
      <x:c r="D27" s="26" t="str">
        <x:v>Fresher</x:v>
      </x:c>
      <x:c r="E27" s="26" t="str">
        <x:v>₹60/hour</x:v>
      </x:c>
      <x:c r="F27" s="26" t="str">
        <x:v>Graduate</x:v>
      </x:c>
      <x:c r="G27" s="26" t="str">
        <x:v>HNI/UHNI client acquisition; business development</x:v>
      </x:c>
      <x:c r="H27" s="26" t="str">
        <x:v>https://in.indeed.com/</x:v>
      </x:c>
      <x:c r="I27" s="26" t="str">
        <x:v>https://www.dezerv.in/</x:v>
      </x:c>
      <x:c r="J27" s="26" t="str">
        <x:v>Not publicly listed</x:v>
      </x:c>
      <x:c r="K27" s="26" t="str">
        <x:v>28-Aug-2026</x:v>
      </x:c>
      <x:c r="L27" s="36" t="n">
        <x:v>8.2</x:v>
      </x:c>
      <x:c r="M27" s="26" t="str">
        <x:v>Finance exposure but compensation model differs from standard salary.</x:v>
      </x:c>
      <x:c r="N27" s="26"/>
      <x:c r="O27" s="26"/>
      <x:c r="P27" s="26"/>
      <x:c r="Q27" s="26"/>
    </x:row>
    <x:row r="28" ht="38" customHeight="1">
      <x:c r="A28" s="26" t="str">
        <x:v>Wiffy Tech</x:v>
      </x:c>
      <x:c r="B28" s="26" t="str">
        <x:v>Operations Executive</x:v>
      </x:c>
      <x:c r="C28" s="26" t="str">
        <x:v>Bengaluru</x:v>
      </x:c>
      <x:c r="D28" s="26" t="str">
        <x:v>Fresher</x:v>
      </x:c>
      <x:c r="E28" s="26" t="str">
        <x:v>₹3.12–3.48 LPA</x:v>
      </x:c>
      <x:c r="F28" s="26" t="str">
        <x:v>Graduate</x:v>
      </x:c>
      <x:c r="G28" s="26" t="str">
        <x:v>Service operations; coordination; execution</x:v>
      </x:c>
      <x:c r="H28" s="26" t="str">
        <x:v>https://in.indeed.com/</x:v>
      </x:c>
      <x:c r="I28" s="26" t="str">
        <x:v>Not publicly listed</x:v>
      </x:c>
      <x:c r="J28" s="26" t="str">
        <x:v>Not publicly listed</x:v>
      </x:c>
      <x:c r="K28" s="26" t="str">
        <x:v>23-Aug-2026</x:v>
      </x:c>
      <x:c r="L28" s="36" t="n">
        <x:v>8</x:v>
      </x:c>
      <x:c r="M28" s="26" t="str">
        <x:v>Immediate operations role; deadline noted in prior scan.</x:v>
      </x:c>
      <x:c r="N28" s="26"/>
      <x:c r="O28" s="26"/>
      <x:c r="P28" s="26"/>
      <x:c r="Q28" s="26"/>
    </x:row>
    <x:row r="29" ht="38" customHeight="1">
      <x:c r="A29" s="26" t="str">
        <x:v>Aishwarya Group</x:v>
      </x:c>
      <x:c r="B29" s="26" t="str">
        <x:v>Business Development Executive</x:v>
      </x:c>
      <x:c r="C29" s="26" t="str">
        <x:v>Bengaluru</x:v>
      </x:c>
      <x:c r="D29" s="26" t="str">
        <x:v>Fresher</x:v>
      </x:c>
      <x:c r="E29" s="26" t="str">
        <x:v>₹20,000–50,000/month + incentives</x:v>
      </x:c>
      <x:c r="F29" s="26" t="str">
        <x:v>Bachelor’s degree</x:v>
      </x:c>
      <x:c r="G29" s="26" t="str">
        <x:v>Lead generation; client relationships; negotiation; CRM</x:v>
      </x:c>
      <x:c r="H29" s="26" t="str">
        <x:v>https://to.indeed.com/aagld4cwymqj</x:v>
      </x:c>
      <x:c r="I29" s="26" t="str">
        <x:v>Not publicly listed</x:v>
      </x:c>
      <x:c r="J29" s="26" t="str">
        <x:v>Not publicly listed</x:v>
      </x:c>
      <x:c r="K29" s="26" t="str">
        <x:v>Rolling</x:v>
      </x:c>
      <x:c r="L29" s="36" t="n">
        <x:v>7.6</x:v>
      </x:c>
      <x:c r="M29" s="26" t="str">
        <x:v>Fresh listing; industry less aligned with International Business.</x:v>
      </x:c>
      <x:c r="N29" s="26"/>
      <x:c r="O29" s="26"/>
      <x:c r="P29" s="26"/>
      <x:c r="Q29" s="26"/>
    </x:row>
    <x:row r="30" ht="38" customHeight="1">
      <x:c r="A30" s="26" t="str">
        <x:v>LanceSoft</x:v>
      </x:c>
      <x:c r="B30" s="26" t="str">
        <x:v>US Recruiter / Management Trainee</x:v>
      </x:c>
      <x:c r="C30" s="26" t="str">
        <x:v>Whitefield, Bengaluru</x:v>
      </x:c>
      <x:c r="D30" s="26" t="str">
        <x:v>Fresher</x:v>
      </x:c>
      <x:c r="E30" s="26" t="str">
        <x:v>₹22,000/month + incentives</x:v>
      </x:c>
      <x:c r="F30" s="26" t="str">
        <x:v>Graduate</x:v>
      </x:c>
      <x:c r="G30" s="26" t="str">
        <x:v>English communication; recruitment; international staffing; targets</x:v>
      </x:c>
      <x:c r="H30" s="26" t="str">
        <x:v>https://to.indeed.com/aams9xcmqkvc</x:v>
      </x:c>
      <x:c r="I30" s="26" t="str">
        <x:v>Not publicly listed</x:v>
      </x:c>
      <x:c r="J30" s="26" t="str">
        <x:v>9535455196</x:v>
      </x:c>
      <x:c r="K30" s="26" t="str">
        <x:v>Rolling</x:v>
      </x:c>
      <x:c r="L30" s="36" t="n">
        <x:v>7.5</x:v>
      </x:c>
      <x:c r="M30" s="26" t="str">
        <x:v>International exposure; night shift is a drawback.</x:v>
      </x:c>
      <x:c r="N30" s="26"/>
      <x:c r="O30" s="26"/>
      <x:c r="P30" s="26"/>
      <x:c r="Q30" s="26"/>
    </x:row>
    <x:row r="31" ht="38" customHeight="1">
      <x:c r="A31" s="26" t="str">
        <x:v>MAC Machine Tools &amp; Automation</x:v>
      </x:c>
      <x:c r="B31" s="26" t="str">
        <x:v>Marketing Executive / Trainee</x:v>
      </x:c>
      <x:c r="C31" s="26" t="str">
        <x:v>Peenya, Bengaluru</x:v>
      </x:c>
      <x:c r="D31" s="26" t="str">
        <x:v>Fresher–1 year</x:v>
      </x:c>
      <x:c r="E31" s="26" t="str">
        <x:v>₹15,000–25,000/month</x:v>
      </x:c>
      <x:c r="F31" s="26" t="str">
        <x:v>BBA/Marketing/related</x:v>
      </x:c>
      <x:c r="G31" s="26" t="str">
        <x:v>Marketing operations; content; social media; website management; reporting</x:v>
      </x:c>
      <x:c r="H31" s="26" t="str">
        <x:v>https://to.indeed.com/aaz6xbcgvwtxg</x:v>
      </x:c>
      <x:c r="I31" s="26" t="str">
        <x:v>Not publicly listed</x:v>
      </x:c>
      <x:c r="J31" s="26" t="str">
        <x:v>Not publicly listed</x:v>
      </x:c>
      <x:c r="K31" s="26" t="str">
        <x:v>Rolling</x:v>
      </x:c>
      <x:c r="L31" s="36" t="n">
        <x:v>7.7</x:v>
      </x:c>
      <x:c r="M31" s="26" t="str">
        <x:v>Useful commercial/marketing foundation.</x:v>
      </x:c>
      <x:c r="N31" s="26"/>
      <x:c r="O31" s="26"/>
      <x:c r="P31" s="26"/>
      <x:c r="Q31" s="26"/>
    </x:row>
    <x:row r="32" ht="38" customHeight="1">
      <x:c r="A32" s="26" t="str">
        <x:v>Perssist Corp / Krismar</x:v>
      </x:c>
      <x:c r="B32" s="26" t="str">
        <x:v>Management Trainee – Sales</x:v>
      </x:c>
      <x:c r="C32" s="26" t="str">
        <x:v>Sarjapura, Bengaluru</x:v>
      </x:c>
      <x:c r="D32" s="26" t="str">
        <x:v>Fresher–2 years</x:v>
      </x:c>
      <x:c r="E32" s="26" t="str">
        <x:v>₹30,000–40,000/month</x:v>
      </x:c>
      <x:c r="F32" s="26" t="str">
        <x:v>Graduate</x:v>
      </x:c>
      <x:c r="G32" s="26" t="str">
        <x:v>Sales; customer handling; inventory; dispatch; procurement; Excel</x:v>
      </x:c>
      <x:c r="H32" s="26" t="str">
        <x:v>https://to.indeed.com/aads9jx4cck7</x:v>
      </x:c>
      <x:c r="I32" s="26" t="str">
        <x:v>Not publicly listed</x:v>
      </x:c>
      <x:c r="J32" s="26" t="str">
        <x:v>Not publicly listed</x:v>
      </x:c>
      <x:c r="K32" s="26" t="str">
        <x:v>Rolling</x:v>
      </x:c>
      <x:c r="L32" s="36" t="n">
        <x:v>8.4</x:v>
      </x:c>
      <x:c r="M32" s="26" t="str">
        <x:v>Business serves domestic and international markets.</x:v>
      </x:c>
      <x:c r="N32" s="26"/>
      <x:c r="O32" s="26"/>
      <x:c r="P32" s="26"/>
      <x:c r="Q32" s="26"/>
    </x:row>
    <x:row r="33" ht="38" customHeight="1">
      <x:c r="A33" s="26" t="str">
        <x:v>First Citizens India</x:v>
      </x:c>
      <x:c r="B33" s="26" t="str">
        <x:v>Apprentice – Enterprise Operations</x:v>
      </x:c>
      <x:c r="C33" s="26" t="str">
        <x:v>Bengaluru</x:v>
      </x:c>
      <x:c r="D33" s="26" t="str">
        <x:v>Fresher</x:v>
      </x:c>
      <x:c r="E33" s="26" t="str">
        <x:v>Not disclosed</x:v>
      </x:c>
      <x:c r="F33" s="26" t="str">
        <x:v>Graduate</x:v>
      </x:c>
      <x:c r="G33" s="26" t="str">
        <x:v>Banking operations; KYC; payments; onboarding; fraud operations</x:v>
      </x:c>
      <x:c r="H33" s="26" t="str">
        <x:v>https://svb.wd5.myworkdayjobs.com/en-US/firstcitizensindia/job/Apprentice---Enterprise-Operations_24763</x:v>
      </x:c>
      <x:c r="I33" s="26" t="str">
        <x:v>https://www.firstcitizens.com/careers</x:v>
      </x:c>
      <x:c r="J33" s="26" t="str">
        <x:v>Not publicly listed</x:v>
      </x:c>
      <x:c r="K33" s="26" t="str">
        <x:v>Verify live requisition</x:v>
      </x:c>
      <x:c r="L33" s="36" t="n">
        <x:v>9.7</x:v>
      </x:c>
      <x:c r="M33" s="26" t="str">
        <x:v>Banking/GCC apprenticeship from latest scan.</x:v>
      </x:c>
      <x:c r="N33" s="26"/>
      <x:c r="O33" s="26"/>
      <x:c r="P33" s="26"/>
      <x:c r="Q33" s="26"/>
    </x:row>
    <x:row r="34" ht="38" customHeight="1">
      <x:c r="A34" s="26" t="str">
        <x:v>Siemens</x:v>
      </x:c>
      <x:c r="B34" s="26" t="str">
        <x:v>Trainee</x:v>
      </x:c>
      <x:c r="C34" s="26" t="str">
        <x:v>Bengaluru</x:v>
      </x:c>
      <x:c r="D34" s="26" t="str">
        <x:v>Fresher</x:v>
      </x:c>
      <x:c r="E34" s="26" t="str">
        <x:v>Not disclosed</x:v>
      </x:c>
      <x:c r="F34" s="26" t="str">
        <x:v>Graduate / BBA eligible depending on function</x:v>
      </x:c>
      <x:c r="G34" s="26" t="str">
        <x:v>Business operations; reporting; compliance; customer operations</x:v>
      </x:c>
      <x:c r="H34" s="26" t="str">
        <x:v>https://jobs.siemens.com/</x:v>
      </x:c>
      <x:c r="I34" s="26" t="str">
        <x:v>https://jobs.siemens.com/</x:v>
      </x:c>
      <x:c r="J34" s="26" t="str">
        <x:v>Not publicly listed</x:v>
      </x:c>
      <x:c r="K34" s="26" t="str">
        <x:v>Rolling</x:v>
      </x:c>
      <x:c r="L34" s="36" t="n">
        <x:v>9.3</x:v>
      </x:c>
      <x:c r="M34" s="26" t="str">
        <x:v>Strong multinational trainee pathway.</x:v>
      </x:c>
      <x:c r="N34" s="26"/>
      <x:c r="O34" s="26"/>
      <x:c r="P34" s="26"/>
      <x:c r="Q34" s="26"/>
    </x:row>
    <x:row r="35" ht="38" customHeight="1">
      <x:c r="A35" s="26" t="str">
        <x:v>Volvo Group</x:v>
      </x:c>
      <x:c r="B35" s="26" t="str">
        <x:v>Graduate Apprentice Trainee</x:v>
      </x:c>
      <x:c r="C35" s="26" t="str">
        <x:v>Bengaluru</x:v>
      </x:c>
      <x:c r="D35" s="26" t="str">
        <x:v>Fresher</x:v>
      </x:c>
      <x:c r="E35" s="26" t="str">
        <x:v>Not disclosed</x:v>
      </x:c>
      <x:c r="F35" s="26" t="str">
        <x:v>Graduate</x:v>
      </x:c>
      <x:c r="G35" s="26" t="str">
        <x:v>Operations; coordination; reporting</x:v>
      </x:c>
      <x:c r="H35" s="26" t="str">
        <x:v>https://www.volvogroup.com/en/careers.html</x:v>
      </x:c>
      <x:c r="I35" s="26" t="str">
        <x:v>https://www.volvogroup.com/en/careers.html</x:v>
      </x:c>
      <x:c r="J35" s="26" t="str">
        <x:v>Not publicly listed</x:v>
      </x:c>
      <x:c r="K35" s="26" t="str">
        <x:v>Rolling</x:v>
      </x:c>
      <x:c r="L35" s="36" t="n">
        <x:v>9.4</x:v>
      </x:c>
      <x:c r="M35" s="26" t="str">
        <x:v>Strong multinational graduate training.</x:v>
      </x:c>
      <x:c r="N35" s="26"/>
      <x:c r="O35" s="26"/>
      <x:c r="P35" s="26"/>
      <x:c r="Q35" s="26"/>
    </x:row>
    <x:row r="36" ht="38" customHeight="1">
      <x:c r="A36" s="26" t="str">
        <x:v>ANZ</x:v>
      </x:c>
      <x:c r="B36" s="26" t="str">
        <x:v>Apprentice – Operations</x:v>
      </x:c>
      <x:c r="C36" s="26" t="str">
        <x:v>Bengaluru</x:v>
      </x:c>
      <x:c r="D36" s="26" t="str">
        <x:v>Fresher</x:v>
      </x:c>
      <x:c r="E36" s="26" t="str">
        <x:v>Not disclosed</x:v>
      </x:c>
      <x:c r="F36" s="26" t="str">
        <x:v>BBA/BBM/B.Com/graduate</x:v>
      </x:c>
      <x:c r="G36" s="26" t="str">
        <x:v>Operations; analysis; communication</x:v>
      </x:c>
      <x:c r="H36" s="26" t="str">
        <x:v>https://www.anz.com/careers</x:v>
      </x:c>
      <x:c r="I36" s="26" t="str">
        <x:v>https://www.anz.com/careers</x:v>
      </x:c>
      <x:c r="J36" s="26" t="str">
        <x:v>Not publicly listed</x:v>
      </x:c>
      <x:c r="K36" s="26" t="str">
        <x:v>Rolling</x:v>
      </x:c>
      <x:c r="L36" s="36" t="n">
        <x:v>9.6</x:v>
      </x:c>
      <x:c r="M36" s="26" t="str">
        <x:v>BBA/BBM/B.Com explicitly referenced.</x:v>
      </x:c>
      <x:c r="N36" s="26"/>
      <x:c r="O36" s="26"/>
      <x:c r="P36" s="26"/>
      <x:c r="Q36" s="26"/>
    </x:row>
    <x:row r="37" ht="38" customHeight="1">
      <x:c r="A37" s="26" t="str">
        <x:v>Givaudan</x:v>
      </x:c>
      <x:c r="B37" s="26" t="str">
        <x:v>Operations Management Trainee</x:v>
      </x:c>
      <x:c r="C37" s="26" t="str">
        <x:v>Bengaluru</x:v>
      </x:c>
      <x:c r="D37" s="26" t="str">
        <x:v>Entry</x:v>
      </x:c>
      <x:c r="E37" s="26" t="str">
        <x:v>₹2.4–6.8 LPA est.</x:v>
      </x:c>
      <x:c r="F37" s="26" t="str">
        <x:v>Graduate</x:v>
      </x:c>
      <x:c r="G37" s="26" t="str">
        <x:v>Supply chain; operations; process improvement</x:v>
      </x:c>
      <x:c r="H37" s="26" t="str">
        <x:v>https://jobs.givaudan.com/</x:v>
      </x:c>
      <x:c r="I37" s="26" t="str">
        <x:v>https://jobs.givaudan.com/</x:v>
      </x:c>
      <x:c r="J37" s="26" t="str">
        <x:v>Not publicly listed</x:v>
      </x:c>
      <x:c r="K37" s="26" t="str">
        <x:v>Rolling</x:v>
      </x:c>
      <x:c r="L37" s="36" t="n">
        <x:v>9.1</x:v>
      </x:c>
      <x:c r="M37" s="26" t="str">
        <x:v>Strong supply-chain exposure.</x:v>
      </x:c>
      <x:c r="N37" s="26"/>
      <x:c r="O37" s="26"/>
      <x:c r="P37" s="26"/>
      <x:c r="Q37" s="26"/>
    </x:row>
    <x:row r="38" ht="38" customHeight="1">
      <x:c r="A38" s="26" t="str">
        <x:v>Genpact</x:v>
      </x:c>
      <x:c r="B38" s="26" t="str">
        <x:v>Management Trainee – Sales Operations</x:v>
      </x:c>
      <x:c r="C38" s="26" t="str">
        <x:v>Bengaluru</x:v>
      </x:c>
      <x:c r="D38" s="26" t="str">
        <x:v>Entry</x:v>
      </x:c>
      <x:c r="E38" s="26" t="str">
        <x:v>₹3.6–6.6 LPA est.</x:v>
      </x:c>
      <x:c r="F38" s="26" t="str">
        <x:v>Graduate</x:v>
      </x:c>
      <x:c r="G38" s="26" t="str">
        <x:v>Sales operations; forecasting; Excel; reporting</x:v>
      </x:c>
      <x:c r="H38" s="26" t="str">
        <x:v>https://www.genpact.com/careers</x:v>
      </x:c>
      <x:c r="I38" s="26" t="str">
        <x:v>https://www.genpact.com/careers</x:v>
      </x:c>
      <x:c r="J38" s="26" t="str">
        <x:v>Not publicly listed</x:v>
      </x:c>
      <x:c r="K38" s="26" t="str">
        <x:v>Rolling</x:v>
      </x:c>
      <x:c r="L38" s="36" t="n">
        <x:v>9</x:v>
      </x:c>
      <x:c r="M38" s="26" t="str">
        <x:v>Strong corporate operations route.</x:v>
      </x:c>
      <x:c r="N38" s="26"/>
      <x:c r="O38" s="26"/>
      <x:c r="P38" s="26"/>
      <x:c r="Q38" s="26"/>
    </x:row>
    <x:row r="39" ht="38" customHeight="1">
      <x:c r="A39" s="26" t="str">
        <x:v>Konecranes</x:v>
      </x:c>
      <x:c r="B39" s="26" t="str">
        <x:v>Trainee – Project Management</x:v>
      </x:c>
      <x:c r="C39" s="26" t="str">
        <x:v>Bengaluru</x:v>
      </x:c>
      <x:c r="D39" s="26" t="str">
        <x:v>Entry</x:v>
      </x:c>
      <x:c r="E39" s="26" t="str">
        <x:v>₹3.5–4.0 LPA est.</x:v>
      </x:c>
      <x:c r="F39" s="26" t="str">
        <x:v>Graduate</x:v>
      </x:c>
      <x:c r="G39" s="26" t="str">
        <x:v>Project coordination; planning</x:v>
      </x:c>
      <x:c r="H39" s="26" t="str">
        <x:v>https://www.konecranes.com/careers</x:v>
      </x:c>
      <x:c r="I39" s="26" t="str">
        <x:v>https://www.konecranes.com/careers</x:v>
      </x:c>
      <x:c r="J39" s="26" t="str">
        <x:v>Not publicly listed</x:v>
      </x:c>
      <x:c r="K39" s="26" t="str">
        <x:v>Rolling</x:v>
      </x:c>
      <x:c r="L39" s="36" t="n">
        <x:v>8.8</x:v>
      </x:c>
      <x:c r="M39" s="26" t="str">
        <x:v>Good project-management foundation.</x:v>
      </x:c>
      <x:c r="N39" s="26"/>
      <x:c r="O39" s="26"/>
      <x:c r="P39" s="26"/>
      <x:c r="Q39" s="26"/>
    </x:row>
    <x:row r="40" ht="38" customHeight="1">
      <x:c r="A40" s="26" t="str">
        <x:v>Qoruz</x:v>
      </x:c>
      <x:c r="B40" s="26" t="str">
        <x:v>Management Trainee – Client Servicing</x:v>
      </x:c>
      <x:c r="C40" s="26" t="str">
        <x:v>Bengaluru</x:v>
      </x:c>
      <x:c r="D40" s="26" t="str">
        <x:v>Entry</x:v>
      </x:c>
      <x:c r="E40" s="26" t="str">
        <x:v>Not disclosed</x:v>
      </x:c>
      <x:c r="F40" s="26" t="str">
        <x:v>Graduate</x:v>
      </x:c>
      <x:c r="G40" s="26" t="str">
        <x:v>Client management; communication</x:v>
      </x:c>
      <x:c r="H40" s="26" t="str">
        <x:v>https://qoruz.com/careers</x:v>
      </x:c>
      <x:c r="I40" s="26" t="str">
        <x:v>https://qoruz.com/careers</x:v>
      </x:c>
      <x:c r="J40" s="26" t="str">
        <x:v>Not publicly listed</x:v>
      </x:c>
      <x:c r="K40" s="26" t="str">
        <x:v>Rolling</x:v>
      </x:c>
      <x:c r="L40" s="36" t="n">
        <x:v>8.1</x:v>
      </x:c>
      <x:c r="M40" s="26" t="str">
        <x:v>Account-management path.</x:v>
      </x:c>
      <x:c r="N40" s="26"/>
      <x:c r="O40" s="26"/>
      <x:c r="P40" s="26"/>
      <x:c r="Q40" s="26"/>
    </x:row>
    <x:row r="41" ht="38" customHeight="1">
      <x:c r="A41" s="26" t="str">
        <x:v>Sales Co Asia</x:v>
      </x:c>
      <x:c r="B41" s="26" t="str">
        <x:v>Management Trainee Program</x:v>
      </x:c>
      <x:c r="C41" s="26" t="str">
        <x:v>Bengaluru</x:v>
      </x:c>
      <x:c r="D41" s="26" t="str">
        <x:v>Fresher</x:v>
      </x:c>
      <x:c r="E41" s="26" t="str">
        <x:v>Not disclosed</x:v>
      </x:c>
      <x:c r="F41" s="26" t="str">
        <x:v>Graduate</x:v>
      </x:c>
      <x:c r="G41" s="26" t="str">
        <x:v>Sales; leadership; communication</x:v>
      </x:c>
      <x:c r="H41" s="26" t="str">
        <x:v>https://www.linkedin.com/company/salescoasia/</x:v>
      </x:c>
      <x:c r="I41" s="26" t="str">
        <x:v>https://www.linkedin.com/company/salescoasia/</x:v>
      </x:c>
      <x:c r="J41" s="26" t="str">
        <x:v>Not publicly listed</x:v>
      </x:c>
      <x:c r="K41" s="26" t="str">
        <x:v>Rolling</x:v>
      </x:c>
      <x:c r="L41" s="36" t="n">
        <x:v>8</x:v>
      </x:c>
      <x:c r="M41" s="26" t="str">
        <x:v>Commercial/leadership experience.</x:v>
      </x:c>
      <x:c r="N41" s="26"/>
      <x:c r="O41" s="26"/>
      <x:c r="P41" s="26"/>
      <x:c r="Q41" s="26"/>
    </x:row>
    <x:row r="42" ht="38" customHeight="1">
      <x:c r="A42" s="26" t="str">
        <x:v>GreedyGame</x:v>
      </x:c>
      <x:c r="B42" s="26" t="str">
        <x:v>Business Management Trainee</x:v>
      </x:c>
      <x:c r="C42" s="26" t="str">
        <x:v>Bengaluru</x:v>
      </x:c>
      <x:c r="D42" s="26" t="str">
        <x:v>Entry</x:v>
      </x:c>
      <x:c r="E42" s="26" t="str">
        <x:v>Not disclosed</x:v>
      </x:c>
      <x:c r="F42" s="26" t="str">
        <x:v>Graduate</x:v>
      </x:c>
      <x:c r="G42" s="26" t="str">
        <x:v>Analytics; client operations; business management</x:v>
      </x:c>
      <x:c r="H42" s="26" t="str">
        <x:v>https://greedygame.com/careers</x:v>
      </x:c>
      <x:c r="I42" s="26" t="str">
        <x:v>https://greedygame.com/careers</x:v>
      </x:c>
      <x:c r="J42" s="26" t="str">
        <x:v>Not publicly listed</x:v>
      </x:c>
      <x:c r="K42" s="26" t="str">
        <x:v>Rolling</x:v>
      </x:c>
      <x:c r="L42" s="36" t="n">
        <x:v>8.6</x:v>
      </x:c>
      <x:c r="M42" s="26" t="str">
        <x:v>Good blend of business and technology.</x:v>
      </x:c>
      <x:c r="N42" s="26"/>
      <x:c r="O42" s="26"/>
      <x:c r="P42" s="26"/>
      <x:c r="Q42" s="26"/>
    </x:row>
    <x:row r="43" ht="38" customHeight="1">
      <x:c r="A43" s="26" t="str">
        <x:v>Chain Reaction Co.</x:v>
      </x:c>
      <x:c r="B43" s="26" t="str">
        <x:v>Graduate Management Trainee</x:v>
      </x:c>
      <x:c r="C43" s="26" t="str">
        <x:v>Bengaluru</x:v>
      </x:c>
      <x:c r="D43" s="26" t="str">
        <x:v>Fresher</x:v>
      </x:c>
      <x:c r="E43" s="26" t="str">
        <x:v>Not disclosed</x:v>
      </x:c>
      <x:c r="F43" s="26" t="str">
        <x:v>Graduate</x:v>
      </x:c>
      <x:c r="G43" s="26" t="str">
        <x:v>Marketing; management; communication</x:v>
      </x:c>
      <x:c r="H43" s="26" t="str">
        <x:v>https://careers.chainreaction.ae</x:v>
      </x:c>
      <x:c r="I43" s="26" t="str">
        <x:v>https://careers.chainreaction.ae</x:v>
      </x:c>
      <x:c r="J43" s="26" t="str">
        <x:v>Not publicly listed</x:v>
      </x:c>
      <x:c r="K43" s="26" t="str">
        <x:v>Rolling</x:v>
      </x:c>
      <x:c r="L43" s="36" t="n">
        <x:v>8</x:v>
      </x:c>
      <x:c r="M43" s="26" t="str">
        <x:v>Management/client-facing path.</x:v>
      </x:c>
      <x:c r="N43" s="26"/>
      <x:c r="O43" s="26"/>
      <x:c r="P43" s="26"/>
      <x:c r="Q43" s="26"/>
    </x:row>
    <x:row r="44" ht="38" customHeight="1">
      <x:c r="A44" s="26" t="str">
        <x:v>Cisco</x:v>
      </x:c>
      <x:c r="B44" s="26" t="str">
        <x:v>Talent Acquisition Coordinator Trainee – Graduate Apprentice</x:v>
      </x:c>
      <x:c r="C44" s="26" t="str">
        <x:v>Bengaluru</x:v>
      </x:c>
      <x:c r="D44" s="26" t="str">
        <x:v>Fresher</x:v>
      </x:c>
      <x:c r="E44" s="26" t="str">
        <x:v>₹2.07–3.25 LPA est.</x:v>
      </x:c>
      <x:c r="F44" s="26" t="str">
        <x:v>Graduate</x:v>
      </x:c>
      <x:c r="G44" s="26" t="str">
        <x:v>Coordination; communication; HR operations; MS Office</x:v>
      </x:c>
      <x:c r="H44" s="26" t="str">
        <x:v>https://jobs.cisco.com/</x:v>
      </x:c>
      <x:c r="I44" s="26" t="str">
        <x:v>https://jobs.cisco.com/</x:v>
      </x:c>
      <x:c r="J44" s="26" t="str">
        <x:v>Not publicly listed</x:v>
      </x:c>
      <x:c r="K44" s="26" t="str">
        <x:v>Rolling</x:v>
      </x:c>
      <x:c r="L44" s="36" t="n">
        <x:v>8.2</x:v>
      </x:c>
      <x:c r="M44" s="26" t="str">
        <x:v>Strong multinational apprenticeship.</x:v>
      </x:c>
      <x:c r="N44" s="26"/>
      <x:c r="O44" s="26"/>
      <x:c r="P44" s="26"/>
      <x:c r="Q44" s="26"/>
    </x:row>
    <x:row r="45" ht="38" customHeight="1">
      <x:c r="A45" s="26" t="str">
        <x:v>Cisco</x:v>
      </x:c>
      <x:c r="B45" s="26" t="str">
        <x:v>Marketing Trainee – Graduate Apprentice</x:v>
      </x:c>
      <x:c r="C45" s="26" t="str">
        <x:v>Bengaluru</x:v>
      </x:c>
      <x:c r="D45" s="26" t="str">
        <x:v>Fresher</x:v>
      </x:c>
      <x:c r="E45" s="26" t="str">
        <x:v>₹4.37–7.80 LPA est.</x:v>
      </x:c>
      <x:c r="F45" s="26" t="str">
        <x:v>Graduate</x:v>
      </x:c>
      <x:c r="G45" s="26" t="str">
        <x:v>Marketing; analytics; communication</x:v>
      </x:c>
      <x:c r="H45" s="26" t="str">
        <x:v>https://jobs.cisco.com/</x:v>
      </x:c>
      <x:c r="I45" s="26" t="str">
        <x:v>https://jobs.cisco.com/</x:v>
      </x:c>
      <x:c r="J45" s="26" t="str">
        <x:v>Not publicly listed</x:v>
      </x:c>
      <x:c r="K45" s="26" t="str">
        <x:v>Rolling</x:v>
      </x:c>
      <x:c r="L45" s="36" t="n">
        <x:v>9</x:v>
      </x:c>
      <x:c r="M45" s="26" t="str">
        <x:v>Excellent brand and marketing exposure.</x:v>
      </x:c>
      <x:c r="N45" s="26"/>
      <x:c r="O45" s="26"/>
      <x:c r="P45" s="26"/>
      <x:c r="Q45" s="26"/>
    </x:row>
    <x:row r="46" ht="38" customHeight="1">
      <x:c r="A46" s="26" t="str">
        <x:v>AtkinsRéalis</x:v>
      </x:c>
      <x:c r="B46" s="26" t="str">
        <x:v>Trainee</x:v>
      </x:c>
      <x:c r="C46" s="26" t="str">
        <x:v>Bengaluru</x:v>
      </x:c>
      <x:c r="D46" s="26" t="str">
        <x:v>Fresher</x:v>
      </x:c>
      <x:c r="E46" s="26" t="str">
        <x:v>Not disclosed</x:v>
      </x:c>
      <x:c r="F46" s="26" t="str">
        <x:v>Graduate; 70% academic requirement in prior listing</x:v>
      </x:c>
      <x:c r="G46" s="26" t="str">
        <x:v>Documentation; project support</x:v>
      </x:c>
      <x:c r="H46" s="26" t="str">
        <x:v>https://careers.atkinsrealis.com</x:v>
      </x:c>
      <x:c r="I46" s="26" t="str">
        <x:v>https://careers.atkinsrealis.com</x:v>
      </x:c>
      <x:c r="J46" s="26" t="str">
        <x:v>Not publicly listed</x:v>
      </x:c>
      <x:c r="K46" s="26" t="str">
        <x:v>Rolling</x:v>
      </x:c>
      <x:c r="L46" s="36" t="n">
        <x:v>8.2</x:v>
      </x:c>
      <x:c r="M46" s="26" t="str">
        <x:v>Good project-coordination experience.</x:v>
      </x:c>
      <x:c r="N46" s="26"/>
      <x:c r="O46" s="26"/>
      <x:c r="P46" s="26"/>
      <x:c r="Q46" s="26"/>
    </x:row>
    <x:row r="47" ht="38" customHeight="1">
      <x:c r="A47" s="26" t="str">
        <x:v>KredX</x:v>
      </x:c>
      <x:c r="B47" s="26" t="str">
        <x:v>Corporate Sales Trainee</x:v>
      </x:c>
      <x:c r="C47" s="26" t="str">
        <x:v>Bengaluru</x:v>
      </x:c>
      <x:c r="D47" s="26" t="str">
        <x:v>Fresher</x:v>
      </x:c>
      <x:c r="E47" s="26" t="str">
        <x:v>Not disclosed</x:v>
      </x:c>
      <x:c r="F47" s="26" t="str">
        <x:v>Any graduate/postgraduate</x:v>
      </x:c>
      <x:c r="G47" s="26" t="str">
        <x:v>B2B sales; trade finance; communication</x:v>
      </x:c>
      <x:c r="H47" s="26" t="str">
        <x:v>https://to.indeed.com/aapr6nnhmrdr</x:v>
      </x:c>
      <x:c r="I47" s="26" t="str">
        <x:v>https://www.kredx.com/join-our-team</x:v>
      </x:c>
      <x:c r="J47" s="26" t="str">
        <x:v>info@kredx.com | +91-8061799200 | 1800 419 4919</x:v>
      </x:c>
      <x:c r="K47" s="26" t="str">
        <x:v>Rolling</x:v>
      </x:c>
      <x:c r="L47" s="36" t="n">
        <x:v>9.8</x:v>
      </x:c>
      <x:c r="M47" s="26" t="str">
        <x:v>Cross-border trade finance relevance.</x:v>
      </x:c>
      <x:c r="N47" s="26"/>
      <x:c r="O47" s="26"/>
      <x:c r="P47" s="26"/>
      <x:c r="Q47" s="26"/>
    </x:row>
    <x:row r="48" ht="38" customHeight="1">
      <x:c r="A48" s="26" t="str">
        <x:v>Porter</x:v>
      </x:c>
      <x:c r="B48" s="26" t="str">
        <x:v>Trainee Business Associate</x:v>
      </x:c>
      <x:c r="C48" s="26" t="str">
        <x:v>Bengaluru</x:v>
      </x:c>
      <x:c r="D48" s="26" t="str">
        <x:v>Fresher</x:v>
      </x:c>
      <x:c r="E48" s="26" t="str">
        <x:v>₹20,000–25,000/month (reported in prior scan)</x:v>
      </x:c>
      <x:c r="F48" s="26" t="str">
        <x:v>Graduate</x:v>
      </x:c>
      <x:c r="G48" s="26" t="str">
        <x:v>Market research; business development; logistics</x:v>
      </x:c>
      <x:c r="H48" s="26" t="str">
        <x:v>https://www.porter.in/careers</x:v>
      </x:c>
      <x:c r="I48" s="26" t="str">
        <x:v>https://www.porter.in/careers</x:v>
      </x:c>
      <x:c r="J48" s="26" t="str">
        <x:v>Not publicly listed</x:v>
      </x:c>
      <x:c r="K48" s="26" t="str">
        <x:v>Rolling</x:v>
      </x:c>
      <x:c r="L48" s="36" t="n">
        <x:v>8.9</x:v>
      </x:c>
      <x:c r="M48" s="26" t="str">
        <x:v>Strong logistics + business development exposure.</x:v>
      </x:c>
      <x:c r="N48" s="26"/>
      <x:c r="O48" s="26"/>
      <x:c r="P48" s="26"/>
      <x:c r="Q48" s="26"/>
    </x:row>
    <x:row r="49" ht="38" customHeight="1">
      <x:c r="A49" s="26" t="str">
        <x:v>4PL Consultancy</x:v>
      </x:c>
      <x:c r="B49" s="26" t="str">
        <x:v>Global Trade Compliance Trainee</x:v>
      </x:c>
      <x:c r="C49" s="26" t="str">
        <x:v>Whitefield, Bengaluru</x:v>
      </x:c>
      <x:c r="D49" s="26" t="str">
        <x:v>Fresher</x:v>
      </x:c>
      <x:c r="E49" s="26" t="str">
        <x:v>₹2.5–3 LPA</x:v>
      </x:c>
      <x:c r="F49" s="26" t="str">
        <x:v>Graduate</x:v>
      </x:c>
      <x:c r="G49" s="26" t="str">
        <x:v>Export-import; logistics; compliance</x:v>
      </x:c>
      <x:c r="H49" s="26" t="str">
        <x:v>https://in.indeed.com/</x:v>
      </x:c>
      <x:c r="I49" s="26" t="str">
        <x:v>Not publicly listed</x:v>
      </x:c>
      <x:c r="J49" s="26" t="str">
        <x:v>Not publicly listed</x:v>
      </x:c>
      <x:c r="K49" s="26" t="str">
        <x:v>Rolling</x:v>
      </x:c>
      <x:c r="L49" s="36" t="n">
        <x:v>9.6</x:v>
      </x:c>
      <x:c r="M49" s="26" t="str">
        <x:v>Direct International Business/trade fit.</x:v>
      </x:c>
      <x:c r="N49" s="26"/>
      <x:c r="O49" s="26"/>
      <x:c r="P49" s="26"/>
      <x:c r="Q49" s="26"/>
    </x:row>
    <x:row r="50" ht="38" customHeight="1">
      <x:c r="A50" s="26" t="str">
        <x:v>Cresc Datasoft</x:v>
      </x:c>
      <x:c r="B50" s="26" t="str">
        <x:v>Analyst – Supply Chain Management</x:v>
      </x:c>
      <x:c r="C50" s="26" t="str">
        <x:v>Bengaluru</x:v>
      </x:c>
      <x:c r="D50" s="26" t="str">
        <x:v>Entry</x:v>
      </x:c>
      <x:c r="E50" s="26" t="str">
        <x:v>Not disclosed</x:v>
      </x:c>
      <x:c r="F50" s="26" t="str">
        <x:v>Graduate</x:v>
      </x:c>
      <x:c r="G50" s="26" t="str">
        <x:v>Supply chain; Excel; customer operations</x:v>
      </x:c>
      <x:c r="H50" s="26" t="str">
        <x:v>https://in.indeed.com/</x:v>
      </x:c>
      <x:c r="I50" s="26" t="str">
        <x:v>Not publicly listed</x:v>
      </x:c>
      <x:c r="J50" s="26" t="str">
        <x:v>Not publicly listed</x:v>
      </x:c>
      <x:c r="K50" s="26" t="str">
        <x:v>Rolling</x:v>
      </x:c>
      <x:c r="L50" s="36" t="n">
        <x:v>8.9</x:v>
      </x:c>
      <x:c r="M50" s="26" t="str">
        <x:v>Strong supply-chain entry.</x:v>
      </x:c>
      <x:c r="N50" s="26"/>
      <x:c r="O50" s="26"/>
      <x:c r="P50" s="26"/>
      <x:c r="Q50" s="26"/>
    </x:row>
    <x:row r="51" ht="38" customHeight="1">
      <x:c r="A51" s="26" t="str">
        <x:v>Switchgear and Control Technics</x:v>
      </x:c>
      <x:c r="B51" s="26" t="str">
        <x:v>Trainee Purchase</x:v>
      </x:c>
      <x:c r="C51" s="26" t="str">
        <x:v>Bommasandra, Bengaluru</x:v>
      </x:c>
      <x:c r="D51" s="26" t="str">
        <x:v>Fresher</x:v>
      </x:c>
      <x:c r="E51" s="26" t="str">
        <x:v>Not disclosed</x:v>
      </x:c>
      <x:c r="F51" s="26" t="str">
        <x:v>Graduate</x:v>
      </x:c>
      <x:c r="G51" s="26" t="str">
        <x:v>Procurement; inventory; vendor management</x:v>
      </x:c>
      <x:c r="H51" s="26" t="str">
        <x:v>https://in.indeed.com/</x:v>
      </x:c>
      <x:c r="I51" s="26" t="str">
        <x:v>Not publicly listed</x:v>
      </x:c>
      <x:c r="J51" s="26" t="str">
        <x:v>Not publicly listed</x:v>
      </x:c>
      <x:c r="K51" s="26" t="str">
        <x:v>Rolling</x:v>
      </x:c>
      <x:c r="L51" s="36" t="n">
        <x:v>8.8</x:v>
      </x:c>
      <x:c r="M51" s="26" t="str">
        <x:v>Good procurement entry point.</x:v>
      </x:c>
      <x:c r="N51" s="26"/>
      <x:c r="O51" s="26"/>
      <x:c r="P51" s="26"/>
      <x:c r="Q51" s="26"/>
    </x:row>
    <x:row r="52" ht="38" customHeight="1">
      <x:c r="A52" s="26" t="str">
        <x:v>Thermite Educare</x:v>
      </x:c>
      <x:c r="B52" s="26" t="str">
        <x:v>Business Development Associate</x:v>
      </x:c>
      <x:c r="C52" s="26" t="str">
        <x:v>Bangalore City</x:v>
      </x:c>
      <x:c r="D52" s="26" t="str">
        <x:v>Fresher–2 years</x:v>
      </x:c>
      <x:c r="E52" s="26" t="str">
        <x:v>₹15,000–25,000/month + incentives</x:v>
      </x:c>
      <x:c r="F52" s="26" t="str">
        <x:v>Graduate</x:v>
      </x:c>
      <x:c r="G52" s="26" t="str">
        <x:v>Sales; negotiation; CRM; lead generation</x:v>
      </x:c>
      <x:c r="H52" s="26" t="str">
        <x:v>https://to.indeed.com/aajfrbwy2dhv</x:v>
      </x:c>
      <x:c r="I52" s="26" t="str">
        <x:v>Not publicly listed</x:v>
      </x:c>
      <x:c r="J52" s="26" t="str">
        <x:v>Not publicly listed</x:v>
      </x:c>
      <x:c r="K52" s="26" t="str">
        <x:v>Rolling</x:v>
      </x:c>
      <x:c r="L52" s="36" t="n">
        <x:v>8</x:v>
      </x:c>
      <x:c r="M52" s="26" t="str">
        <x:v>Good sales foundation.</x:v>
      </x:c>
      <x:c r="N52" s="26"/>
      <x:c r="O52" s="26"/>
      <x:c r="P52" s="26"/>
      <x:c r="Q52" s="26"/>
    </x:row>
    <x:row r="53" ht="38" customHeight="1">
      <x:c r="A53" s="26" t="str">
        <x:v>Value Home Properties</x:v>
      </x:c>
      <x:c r="B53" s="26" t="str">
        <x:v>Trainee Business Development</x:v>
      </x:c>
      <x:c r="C53" s="26" t="str">
        <x:v>Bengaluru</x:v>
      </x:c>
      <x:c r="D53" s="26" t="str">
        <x:v>Fresher</x:v>
      </x:c>
      <x:c r="E53" s="26" t="str">
        <x:v>Not disclosed</x:v>
      </x:c>
      <x:c r="F53" s="26" t="str">
        <x:v>BBA/MBA/any degree</x:v>
      </x:c>
      <x:c r="G53" s="26" t="str">
        <x:v>Business relationships; market analysis; commercial opportunities</x:v>
      </x:c>
      <x:c r="H53" s="26" t="str">
        <x:v>https://in.indeed.com/</x:v>
      </x:c>
      <x:c r="I53" s="26" t="str">
        <x:v>Not publicly listed</x:v>
      </x:c>
      <x:c r="J53" s="26" t="str">
        <x:v>Not publicly listed</x:v>
      </x:c>
      <x:c r="K53" s="26" t="str">
        <x:v>Rolling</x:v>
      </x:c>
      <x:c r="L53" s="36" t="n">
        <x:v>8.4</x:v>
      </x:c>
      <x:c r="M53" s="26" t="str">
        <x:v>Good commercial-development foundation.</x:v>
      </x:c>
      <x:c r="N53" s="26"/>
      <x:c r="O53" s="26"/>
      <x:c r="P53" s="26"/>
      <x:c r="Q53" s="26"/>
    </x:row>
    <x:row r="54" ht="38" customHeight="1">
      <x:c r="A54" s="26" t="str">
        <x:v>Astromeda Space</x:v>
      </x:c>
      <x:c r="B54" s="26" t="str">
        <x:v>Founder's Office Executive</x:v>
      </x:c>
      <x:c r="C54" s="26" t="str">
        <x:v>Bengaluru</x:v>
      </x:c>
      <x:c r="D54" s="26" t="str">
        <x:v>0–1 year / fresher</x:v>
      </x:c>
      <x:c r="E54" s="26" t="str">
        <x:v>Not disclosed</x:v>
      </x:c>
      <x:c r="F54" s="26" t="str">
        <x:v>BBA/MBA</x:v>
      </x:c>
      <x:c r="G54" s="26" t="str">
        <x:v>Investor relations; cross-functional business operations</x:v>
      </x:c>
      <x:c r="H54" s="26" t="str">
        <x:v>https://in.indeed.com/</x:v>
      </x:c>
      <x:c r="I54" s="26" t="str">
        <x:v>Not publicly listed</x:v>
      </x:c>
      <x:c r="J54" s="26" t="str">
        <x:v>Not publicly listed</x:v>
      </x:c>
      <x:c r="K54" s="26" t="str">
        <x:v>Rolling</x:v>
      </x:c>
      <x:c r="L54" s="36" t="n">
        <x:v>8.7</x:v>
      </x:c>
      <x:c r="M54" s="26" t="str">
        <x:v>Potentially strong strategy/general-management exposure.</x:v>
      </x:c>
      <x:c r="N54" s="26"/>
      <x:c r="O54" s="26"/>
      <x:c r="P54" s="26"/>
      <x:c r="Q54" s="26"/>
    </x:row>
    <x:row r="55" ht="38" customHeight="1">
      <x:c r="A55" s="26" t="str">
        <x:v>Lake Chemicals</x:v>
      </x:c>
      <x:c r="B55" s="26" t="str">
        <x:v>Logistics Coordinator</x:v>
      </x:c>
      <x:c r="C55" s="26" t="str">
        <x:v>Bengaluru</x:v>
      </x:c>
      <x:c r="D55" s="26" t="str">
        <x:v>Fresher-friendly</x:v>
      </x:c>
      <x:c r="E55" s="26" t="str">
        <x:v>₹16,500–17,900/month</x:v>
      </x:c>
      <x:c r="F55" s="26" t="str">
        <x:v>Graduate</x:v>
      </x:c>
      <x:c r="G55" s="26" t="str">
        <x:v>Logistics coordination; computer skills</x:v>
      </x:c>
      <x:c r="H55" s="26" t="str">
        <x:v>https://in.indeed.com/</x:v>
      </x:c>
      <x:c r="I55" s="26" t="str">
        <x:v>Not publicly listed</x:v>
      </x:c>
      <x:c r="J55" s="26" t="str">
        <x:v>Not publicly listed</x:v>
      </x:c>
      <x:c r="K55" s="26" t="str">
        <x:v>Rolling</x:v>
      </x:c>
      <x:c r="L55" s="36" t="n">
        <x:v>7.8</x:v>
      </x:c>
      <x:c r="M55" s="26" t="str">
        <x:v>Entry logistics role; modest pay.</x:v>
      </x:c>
      <x:c r="N55" s="26"/>
      <x:c r="O55" s="26"/>
      <x:c r="P55" s="26"/>
      <x:c r="Q55" s="26"/>
    </x:row>
    <x:row r="56" ht="38" customHeight="1">
      <x:c r="A56" s="26" t="str">
        <x:v>HCLTech</x:v>
      </x:c>
      <x:c r="B56" s="26" t="str">
        <x:v>Campus-Advanced Beginner / Process Associate</x:v>
      </x:c>
      <x:c r="C56" s="26" t="str">
        <x:v>Bengaluru</x:v>
      </x:c>
      <x:c r="D56" s="26" t="str">
        <x:v>Fresher</x:v>
      </x:c>
      <x:c r="E56" s="26" t="str">
        <x:v>Not disclosed</x:v>
      </x:c>
      <x:c r="F56" s="26" t="str">
        <x:v>Graduate</x:v>
      </x:c>
      <x:c r="G56" s="26" t="str">
        <x:v>Documentation; business support; process operations</x:v>
      </x:c>
      <x:c r="H56" s="26" t="str">
        <x:v>https://www.hcltech.com/careers</x:v>
      </x:c>
      <x:c r="I56" s="26" t="str">
        <x:v>https://www.hcltech.com/careers</x:v>
      </x:c>
      <x:c r="J56" s="26" t="str">
        <x:v>Not publicly listed</x:v>
      </x:c>
      <x:c r="K56" s="26" t="str">
        <x:v>Rolling</x:v>
      </x:c>
      <x:c r="L56" s="36" t="n">
        <x:v>8.6</x:v>
      </x:c>
      <x:c r="M56" s="26" t="str">
        <x:v>Recognized corporate entry path.</x:v>
      </x:c>
      <x:c r="N56" s="26"/>
      <x:c r="O56" s="26"/>
      <x:c r="P56" s="26"/>
      <x:c r="Q56" s="26"/>
    </x:row>
    <x:row r="57" ht="38" customHeight="1">
      <x:c r="A57" s="26" t="str">
        <x:v>DrinkPrime</x:v>
      </x:c>
      <x:c r="B57" s="26" t="str">
        <x:v>Fresher Hiring</x:v>
      </x:c>
      <x:c r="C57" s="26" t="str">
        <x:v>Bengaluru</x:v>
      </x:c>
      <x:c r="D57" s="26" t="str">
        <x:v>Fresher</x:v>
      </x:c>
      <x:c r="E57" s="26" t="str">
        <x:v>Not disclosed</x:v>
      </x:c>
      <x:c r="F57" s="26" t="str">
        <x:v>BBA/B.Com/MBA/BCA/BE</x:v>
      </x:c>
      <x:c r="G57" s="26" t="str">
        <x:v>English/Kannada communication; MS Office; Excel; email handling</x:v>
      </x:c>
      <x:c r="H57" s="26" t="str">
        <x:v>https://in.indeed.com/</x:v>
      </x:c>
      <x:c r="I57" s="26" t="str">
        <x:v>https://drinkprime.in/careers</x:v>
      </x:c>
      <x:c r="J57" s="26" t="str">
        <x:v>Not publicly listed</x:v>
      </x:c>
      <x:c r="K57" s="26" t="str">
        <x:v>Rolling</x:v>
      </x:c>
      <x:c r="L57" s="36" t="n">
        <x:v>8.8</x:v>
      </x:c>
      <x:c r="M57" s="26" t="str">
        <x:v>Good accessible corporate fresher role.</x:v>
      </x:c>
      <x:c r="N57" s="26"/>
      <x:c r="O57" s="26"/>
      <x:c r="P57" s="26"/>
      <x:c r="Q57" s="26"/>
    </x:row>
    <x:row r="58" ht="38" customHeight="1">
      <x:c r="A58" s="26" t="str">
        <x:v>Markelytics Solutions India</x:v>
      </x:c>
      <x:c r="B58" s="26" t="str">
        <x:v>Trainee – Project Management</x:v>
      </x:c>
      <x:c r="C58" s="26" t="str">
        <x:v>Bengaluru</x:v>
      </x:c>
      <x:c r="D58" s="26" t="str">
        <x:v>Fresher</x:v>
      </x:c>
      <x:c r="E58" s="26" t="str">
        <x:v>₹3.8–6.5 LPA est. in prior scan</x:v>
      </x:c>
      <x:c r="F58" s="26" t="str">
        <x:v>Graduate</x:v>
      </x:c>
      <x:c r="G58" s="26" t="str">
        <x:v>Project coordination; Excel; communication</x:v>
      </x:c>
      <x:c r="H58" s="26" t="str">
        <x:v>https://to.indeed.com/aa9jsxdxdsd4</x:v>
      </x:c>
      <x:c r="I58" s="26" t="str">
        <x:v>https://markelytics.com/careers/</x:v>
      </x:c>
      <x:c r="J58" s="26" t="str">
        <x:v>Not publicly listed</x:v>
      </x:c>
      <x:c r="K58" s="26" t="str">
        <x:v>Rolling</x:v>
      </x:c>
      <x:c r="L58" s="36" t="n">
        <x:v>8.9</x:v>
      </x:c>
      <x:c r="M58" s="26" t="str">
        <x:v>Strong project management foundation.</x:v>
      </x:c>
      <x:c r="N58" s="26"/>
      <x:c r="O58" s="26"/>
      <x:c r="P58" s="26"/>
      <x:c r="Q58" s="26"/>
    </x:row>
    <x:row r="59" ht="38" customHeight="1">
      <x:c r="A59" s="26" t="str">
        <x:v>TechKshetra Info Solutions</x:v>
      </x:c>
      <x:c r="B59" s="26" t="str">
        <x:v>Business Development Executive</x:v>
      </x:c>
      <x:c r="C59" s="26" t="str">
        <x:v>Bengaluru</x:v>
      </x:c>
      <x:c r="D59" s="26" t="str">
        <x:v>0–1 year / fresher</x:v>
      </x:c>
      <x:c r="E59" s="26" t="str">
        <x:v>₹3.6 LPA + uncapped incentives</x:v>
      </x:c>
      <x:c r="F59" s="26" t="str">
        <x:v>BBA/graduate</x:v>
      </x:c>
      <x:c r="G59" s="26" t="str">
        <x:v>B2B SaaS; lead generation; CRM; communication</x:v>
      </x:c>
      <x:c r="H59" s="26" t="str">
        <x:v>https://to.indeed.com/aazmd6jh7vnz</x:v>
      </x:c>
      <x:c r="I59" s="26" t="str">
        <x:v>https://techkshetrainfo.com/</x:v>
      </x:c>
      <x:c r="J59" s="26" t="str">
        <x:v>hr@techkshetrainfo.com | 7090178889</x:v>
      </x:c>
      <x:c r="K59" s="26" t="str">
        <x:v>Rolling</x:v>
      </x:c>
      <x:c r="L59" s="36" t="n">
        <x:v>9</x:v>
      </x:c>
      <x:c r="M59" s="26" t="str">
        <x:v>AI/ERP + B2B sales; BBA explicitly accepted.</x:v>
      </x:c>
      <x:c r="N59" s="26"/>
      <x:c r="O59" s="26"/>
      <x:c r="P59" s="26"/>
      <x:c r="Q59" s="26"/>
    </x:row>
    <x:row r="60" ht="38" customHeight="1">
      <x:c r="A60" s="26" t="str">
        <x:v>Varistor Group</x:v>
      </x:c>
      <x:c r="B60" s="26" t="str">
        <x:v>Purchase Executive Intern</x:v>
      </x:c>
      <x:c r="C60" s="26" t="str">
        <x:v>Bengaluru</x:v>
      </x:c>
      <x:c r="D60" s="26" t="str">
        <x:v>Fresher</x:v>
      </x:c>
      <x:c r="E60" s="26" t="str">
        <x:v>₹10,000–30,000/month</x:v>
      </x:c>
      <x:c r="F60" s="26" t="str">
        <x:v>Graduate</x:v>
      </x:c>
      <x:c r="G60" s="26" t="str">
        <x:v>Procurement; vendor coordination; Excel</x:v>
      </x:c>
      <x:c r="H60" s="26" t="str">
        <x:v>https://in.indeed.com/</x:v>
      </x:c>
      <x:c r="I60" s="26" t="str">
        <x:v>Not publicly listed</x:v>
      </x:c>
      <x:c r="J60" s="26" t="str">
        <x:v>Not publicly listed</x:v>
      </x:c>
      <x:c r="K60" s="26" t="str">
        <x:v>Rolling</x:v>
      </x:c>
      <x:c r="L60" s="36" t="n">
        <x:v>8.6</x:v>
      </x:c>
      <x:c r="M60" s="26" t="str">
        <x:v>Direct procurement/supply-chain exposure.</x:v>
      </x:c>
      <x:c r="N60" s="26"/>
      <x:c r="O60" s="26"/>
      <x:c r="P60" s="26"/>
      <x:c r="Q60" s="26"/>
    </x:row>
    <x:row r="61" ht="38" customHeight="1">
      <x:c r="A61" s="26" t="str">
        <x:v>Vertex Techno Solutions</x:v>
      </x:c>
      <x:c r="B61" s="26" t="str">
        <x:v>Sales Fresher (B2B Sales)</x:v>
      </x:c>
      <x:c r="C61" s="26" t="str">
        <x:v>Bengaluru</x:v>
      </x:c>
      <x:c r="D61" s="26" t="str">
        <x:v>Fresher</x:v>
      </x:c>
      <x:c r="E61" s="26" t="str">
        <x:v>Not disclosed</x:v>
      </x:c>
      <x:c r="F61" s="26" t="str">
        <x:v>Graduate</x:v>
      </x:c>
      <x:c r="G61" s="26" t="str">
        <x:v>B2B sales; communication; CRM</x:v>
      </x:c>
      <x:c r="H61" s="26" t="str">
        <x:v>https://in.indeed.com/</x:v>
      </x:c>
      <x:c r="I61" s="26" t="str">
        <x:v>Not publicly listed</x:v>
      </x:c>
      <x:c r="J61" s="26" t="str">
        <x:v>Not publicly listed</x:v>
      </x:c>
      <x:c r="K61" s="26" t="str">
        <x:v>Rolling</x:v>
      </x:c>
      <x:c r="L61" s="36" t="n">
        <x:v>8</x:v>
      </x:c>
      <x:c r="M61" s="26" t="str">
        <x:v>Corporate sales foundation.</x:v>
      </x:c>
      <x:c r="N61" s="26"/>
      <x:c r="O61" s="26"/>
      <x:c r="P61" s="26"/>
      <x:c r="Q61" s="26"/>
    </x:row>
    <x:row r="62" ht="38" customHeight="1">
      <x:c r="A62" s="26" t="str">
        <x:v>24/7.ai</x:v>
      </x:c>
      <x:c r="B62" s="26" t="str">
        <x:v>Customer Support Executive</x:v>
      </x:c>
      <x:c r="C62" s="26" t="str">
        <x:v>Bengaluru</x:v>
      </x:c>
      <x:c r="D62" s="26" t="str">
        <x:v>Fresher</x:v>
      </x:c>
      <x:c r="E62" s="26" t="str">
        <x:v>Not disclosed</x:v>
      </x:c>
      <x:c r="F62" s="26" t="str">
        <x:v>Graduate</x:v>
      </x:c>
      <x:c r="G62" s="26" t="str">
        <x:v>Customer service; communication; process management</x:v>
      </x:c>
      <x:c r="H62" s="26" t="str">
        <x:v>https://in.indeed.com/</x:v>
      </x:c>
      <x:c r="I62" s="26" t="str">
        <x:v>https://www.247.ai/company/careers</x:v>
      </x:c>
      <x:c r="J62" s="26" t="str">
        <x:v>Not publicly listed</x:v>
      </x:c>
      <x:c r="K62" s="26" t="str">
        <x:v>Rolling</x:v>
      </x:c>
      <x:c r="L62" s="36" t="n">
        <x:v>7.7</x:v>
      </x:c>
      <x:c r="M62" s="26" t="str">
        <x:v>Useful corporate operations experience.</x:v>
      </x:c>
      <x:c r="N62" s="26"/>
      <x:c r="O62" s="26"/>
      <x:c r="P62" s="26"/>
      <x:c r="Q62" s="26"/>
    </x:row>
  </x:sheetData>
  <x:conditionalFormatting sqref="L2:L62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e91ef77e484a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8" hidden="0" customWidth="1"/>
    <x:col min="5" max="5" width="24" hidden="0" customWidth="1"/>
    <x:col min="6" max="6" width="30" hidden="0" customWidth="1"/>
    <x:col min="7" max="7" width="42" hidden="0" customWidth="1"/>
    <x:col min="8" max="8" width="42" hidden="0" customWidth="1"/>
    <x:col min="9" max="9" width="34" hidden="0" customWidth="1"/>
    <x:col min="10" max="10" width="32" hidden="0" customWidth="1"/>
    <x:col min="11" max="11" width="16" hidden="0" customWidth="1"/>
    <x:col min="12" max="12" width="11" hidden="0" customWidth="1"/>
    <x:col min="13" max="13" width="46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38" customHeight="1">
      <x:c r="A1" s="30" t="str">
        <x:v>Legacy tracker sheet - use 'Application Tracker v2'</x:v>
      </x:c>
      <x:c r="B1" s="30" t="str">
        <x:v>Role Title</x:v>
      </x:c>
      <x:c r="C1" s="30" t="str">
        <x:v>Location</x:v>
      </x:c>
      <x:c r="D1" s="30" t="str">
        <x:v>Experience</x:v>
      </x:c>
      <x:c r="E1" s="30" t="str">
        <x:v>Salary</x:v>
      </x:c>
      <x:c r="F1" s="30" t="str">
        <x:v>Qualifications</x:v>
      </x:c>
      <x:c r="G1" s="30" t="str">
        <x:v>Skills Required</x:v>
      </x:c>
      <x:c r="H1" s="30" t="str">
        <x:v>Direct Application Link</x:v>
      </x:c>
      <x:c r="I1" s="30" t="str">
        <x:v>Careers Link</x:v>
      </x:c>
      <x:c r="J1" s="30" t="str">
        <x:v>Recruiter / Contact</x:v>
      </x:c>
      <x:c r="K1" s="30" t="str">
        <x:v>Deadline</x:v>
      </x:c>
      <x:c r="L1" s="30" t="str">
        <x:v>Fit Score</x:v>
      </x:c>
      <x:c r="M1" s="30" t="str">
        <x:v>Source / Notes</x:v>
      </x:c>
      <x:c r="N1" s="30" t="str">
        <x:v>Status</x:v>
      </x:c>
      <x:c r="O1" s="30" t="str">
        <x:v>Applied Date</x:v>
      </x:c>
      <x:c r="P1" s="30" t="str">
        <x:v>Follow-up Date</x:v>
      </x:c>
      <x:c r="Q1" s="30" t="str">
        <x:v>Interview Stage</x:v>
      </x:c>
      <x:c r="R1" s="30" t="str">
        <x:v>Notes</x:v>
      </x:c>
    </x:row>
    <x:row r="2" ht="38" customHeight="1">
      <x:c r="A2" s="26" t="str">
        <x:v>Greendzine Technologies</x:v>
      </x:c>
      <x:c r="B2" s="26" t="str">
        <x:v>Management Trainee Program</x:v>
      </x:c>
      <x:c r="C2" s="26" t="str">
        <x:v>Bengaluru South</x:v>
      </x:c>
      <x:c r="D2" s="26" t="str">
        <x:v>0–1 year</x:v>
      </x:c>
      <x:c r="E2" s="26" t="str">
        <x:v>₹6 LPA CTC (₹4.8L fixed + ₹1.2L incentive)</x:v>
      </x:c>
      <x:c r="F2" s="26" t="str">
        <x:v>BBA/BBM/B.Com/BA; CGPA &gt;7.0</x:v>
      </x:c>
      <x:c r="G2" s="26" t="str">
        <x:v>B2B sales; business development; presentations; CRM; customer engagement; travel</x:v>
      </x:c>
      <x:c r="H2" s="26" t="str">
        <x:v>https://to.indeed.com/aakm8k69khbn2</x:v>
      </x:c>
      <x:c r="I2" s="26" t="str">
        <x:v>https://www.greendzine.com/</x:v>
      </x:c>
      <x:c r="J2" s="26" t="str">
        <x:v>info@greendzine.in</x:v>
      </x:c>
      <x:c r="K2" s="26" t="str">
        <x:v>30-Sep-2026</x:v>
      </x:c>
      <x:c r="L2" s="36" t="n">
        <x:v>10</x:v>
      </x:c>
      <x:c r="M2" s="26" t="str">
        <x:v>12-month program; domestic/international travel; potential permanent role up to ₹10 LPA based on performance.</x:v>
      </x:c>
      <x:c r="N2" s="26" t="str">
        <x:v>Not Applied</x:v>
      </x:c>
      <x:c r="O2" s="26" t="str"/>
      <x:c r="P2" s="26" t="str"/>
      <x:c r="Q2" s="26" t="str">
        <x:v>Not Started</x:v>
      </x:c>
      <x:c r="R2" s="26" t="str"/>
    </x:row>
    <x:row r="3" ht="38" customHeight="1">
      <x:c r="A3" s="26" t="str">
        <x:v>KredX</x:v>
      </x:c>
      <x:c r="B3" s="26" t="str">
        <x:v>Corporate Sales Trainee</x:v>
      </x:c>
      <x:c r="C3" s="26" t="str">
        <x:v>Bengaluru</x:v>
      </x:c>
      <x:c r="D3" s="26" t="str">
        <x:v>Fresher</x:v>
      </x:c>
      <x:c r="E3" s="26" t="str">
        <x:v>Not disclosed</x:v>
      </x:c>
      <x:c r="F3" s="26" t="str">
        <x:v>Any graduate/postgraduate</x:v>
      </x:c>
      <x:c r="G3" s="26" t="str">
        <x:v>B2B prospecting; LinkedIn research; Excel; CRM; sales; client communication</x:v>
      </x:c>
      <x:c r="H3" s="26" t="str">
        <x:v>https://to.indeed.com/aapr6nnhmrdr</x:v>
      </x:c>
      <x:c r="I3" s="26" t="str">
        <x:v>https://www.kredx.com/join-our-team</x:v>
      </x:c>
      <x:c r="J3" s="26" t="str">
        <x:v>info@kredx.com | +91-8061799200 | 1800 419 4919</x:v>
      </x:c>
      <x:c r="K3" s="26" t="str">
        <x:v>Rolling</x:v>
      </x:c>
      <x:c r="L3" s="36" t="n">
        <x:v>9.8</x:v>
      </x:c>
      <x:c r="M3" s="26" t="str">
        <x:v>Strong International Business relevance via supply-chain finance and cross-border trade finance.</x:v>
      </x:c>
      <x:c r="N3" s="26" t="str">
        <x:v>Not Applied</x:v>
      </x:c>
      <x:c r="O3" s="26" t="str"/>
      <x:c r="P3" s="26" t="str"/>
      <x:c r="Q3" s="26" t="str">
        <x:v>Not Started</x:v>
      </x:c>
      <x:c r="R3" s="26" t="str"/>
    </x:row>
    <x:row r="4" ht="38" customHeight="1">
      <x:c r="A4" s="26" t="str">
        <x:v>Infineon Technologies</x:v>
      </x:c>
      <x:c r="B4" s="26" t="str">
        <x:v>International Graduate Program – Sales &amp; Business Development</x:v>
      </x:c>
      <x:c r="C4" s="26" t="str">
        <x:v>Bengaluru / Global rotations</x:v>
      </x:c>
      <x:c r="D4" s="26" t="str">
        <x:v>Graduate</x:v>
      </x:c>
      <x:c r="E4" s="26" t="str">
        <x:v>Not disclosed</x:v>
      </x:c>
      <x:c r="F4" s="26" t="str">
        <x:v>Bachelor’s/Master’s relevant to business role</x:v>
      </x:c>
      <x:c r="G4" s="26" t="str">
        <x:v>Sales; business development; analytical thinking; intercultural skills; English</x:v>
      </x:c>
      <x:c r="H4" s="26" t="str">
        <x:v>https://www.infineon.com/cms/en/careers/jobsearch/</x:v>
      </x:c>
      <x:c r="I4" s="26" t="str">
        <x:v>https://www.infineon.com/cms/en/careers/</x:v>
      </x:c>
      <x:c r="J4" s="26" t="str">
        <x:v>Not publicly listed</x:v>
      </x:c>
      <x:c r="K4" s="26" t="str">
        <x:v>Rolling</x:v>
      </x:c>
      <x:c r="L4" s="36" t="n">
        <x:v>9.7</x:v>
      </x:c>
      <x:c r="M4" s="26" t="str">
        <x:v>18-month international graduate program with 3–4 assignments including possible international assignment.</x:v>
      </x:c>
      <x:c r="N4" s="26" t="str">
        <x:v>Not Applied</x:v>
      </x:c>
      <x:c r="O4" s="26" t="str"/>
      <x:c r="P4" s="26" t="str"/>
      <x:c r="Q4" s="26" t="str">
        <x:v>Not Started</x:v>
      </x:c>
      <x:c r="R4" s="26" t="str"/>
    </x:row>
    <x:row r="5" ht="38" customHeight="1">
      <x:c r="A5" s="26" t="str">
        <x:v>Mydbops</x:v>
      </x:c>
      <x:c r="B5" s="26" t="str">
        <x:v>Business Development Executive</x:v>
      </x:c>
      <x:c r="C5" s="26" t="str">
        <x:v>Bengaluru</x:v>
      </x:c>
      <x:c r="D5" s="26" t="str">
        <x:v>Fresher / &lt;2 years</x:v>
      </x:c>
      <x:c r="E5" s="26" t="str">
        <x:v>₹4–5.5 LPA (reported in prior scan)</x:v>
      </x:c>
      <x:c r="F5" s="26" t="str">
        <x:v>Graduate / BBA relevant</x:v>
      </x:c>
      <x:c r="G5" s="26" t="str">
        <x:v>B2B sales; lead generation; client relationships; business development</x:v>
      </x:c>
      <x:c r="H5" s="26" t="str">
        <x:v>https://www.mydbops.com/careers</x:v>
      </x:c>
      <x:c r="I5" s="26" t="str">
        <x:v>https://www.mydbops.com/careers</x:v>
      </x:c>
      <x:c r="J5" s="26" t="str">
        <x:v>talent@mydbops.com</x:v>
      </x:c>
      <x:c r="K5" s="26" t="str">
        <x:v>Rolling</x:v>
      </x:c>
      <x:c r="L5" s="36" t="n">
        <x:v>9.3</x:v>
      </x:c>
      <x:c r="M5" s="26" t="str">
        <x:v>Global customers across US, Europe, Middle East and Southeast Asia.</x:v>
      </x:c>
      <x:c r="N5" s="26" t="str">
        <x:v>Not Applied</x:v>
      </x:c>
      <x:c r="O5" s="26" t="str"/>
      <x:c r="P5" s="26" t="str"/>
      <x:c r="Q5" s="26" t="str">
        <x:v>Not Started</x:v>
      </x:c>
      <x:c r="R5" s="26" t="str"/>
    </x:row>
    <x:row r="6" ht="38" customHeight="1">
      <x:c r="A6" s="26" t="str">
        <x:v>Shetron</x:v>
      </x:c>
      <x:c r="B6" s="26" t="str">
        <x:v>Commerce Graduate Trainee</x:v>
      </x:c>
      <x:c r="C6" s="26" t="str">
        <x:v>Bommasandra, Bengaluru</x:v>
      </x:c>
      <x:c r="D6" s="26" t="str">
        <x:v>Fresher</x:v>
      </x:c>
      <x:c r="E6" s="26" t="str">
        <x:v>₹15,000–25,000/month</x:v>
      </x:c>
      <x:c r="F6" s="26" t="str">
        <x:v>Commerce/business graduate</x:v>
      </x:c>
      <x:c r="G6" s="26" t="str">
        <x:v>Excel; purchase orders; vendor coordination; inventory; commercial operations</x:v>
      </x:c>
      <x:c r="H6" s="26" t="str">
        <x:v>https://in.indeed.com/</x:v>
      </x:c>
      <x:c r="I6" s="26" t="str">
        <x:v>https://shetrom.com/</x:v>
      </x:c>
      <x:c r="J6" s="26" t="str">
        <x:v>Not publicly listed</x:v>
      </x:c>
      <x:c r="K6" s="26" t="str">
        <x:v>Rolling</x:v>
      </x:c>
      <x:c r="L6" s="36" t="n">
        <x:v>9.2</x:v>
      </x:c>
      <x:c r="M6" s="26" t="str">
        <x:v>Functions include procurement, stores, admin, HR and commercial operations.</x:v>
      </x:c>
      <x:c r="N6" s="26" t="str">
        <x:v>Not Applied</x:v>
      </x:c>
      <x:c r="O6" s="26" t="str"/>
      <x:c r="P6" s="26" t="str"/>
      <x:c r="Q6" s="26" t="str">
        <x:v>Not Started</x:v>
      </x:c>
      <x:c r="R6" s="26" t="str"/>
    </x:row>
    <x:row r="7" ht="38" customHeight="1">
      <x:c r="A7" s="26" t="str">
        <x:v>Amvi Supply Chain Solutions</x:v>
      </x:c>
      <x:c r="B7" s="26" t="str">
        <x:v>Business Development Associate</x:v>
      </x:c>
      <x:c r="C7" s="26" t="str">
        <x:v>Bengaluru</x:v>
      </x:c>
      <x:c r="D7" s="26" t="str">
        <x:v>BBA grads / internship experience considered</x:v>
      </x:c>
      <x:c r="E7" s="26" t="str">
        <x:v>₹20,000–35,000/month</x:v>
      </x:c>
      <x:c r="F7" s="26" t="str">
        <x:v>BBA / relevant graduate</x:v>
      </x:c>
      <x:c r="G7" s="26" t="str">
        <x:v>B2B logistics; procurement/supply chain selling; Excel; PowerPoint; CRM; LinkedIn prospecting</x:v>
      </x:c>
      <x:c r="H7" s="26" t="str">
        <x:v>https://to.indeed.com/aakb8cjt4cqd</x:v>
      </x:c>
      <x:c r="I7" s="26" t="str">
        <x:v>https://www.amvi.co/</x:v>
      </x:c>
      <x:c r="J7" s="26" t="str">
        <x:v>Not publicly listed</x:v>
      </x:c>
      <x:c r="K7" s="26" t="str">
        <x:v>Rolling</x:v>
      </x:c>
      <x:c r="L7" s="36" t="n">
        <x:v>9.2</x:v>
      </x:c>
      <x:c r="M7" s="26" t="str">
        <x:v>Strong bridge from BBA International Business into logistics and B2B sales.</x:v>
      </x:c>
      <x:c r="N7" s="26" t="str">
        <x:v>Not Applied</x:v>
      </x:c>
      <x:c r="O7" s="26" t="str"/>
      <x:c r="P7" s="26" t="str"/>
      <x:c r="Q7" s="26" t="str">
        <x:v>Not Started</x:v>
      </x:c>
      <x:c r="R7" s="26" t="str"/>
    </x:row>
    <x:row r="8" ht="38" customHeight="1">
      <x:c r="A8" s="26" t="str">
        <x:v>Jayshree Industries</x:v>
      </x:c>
      <x:c r="B8" s="26" t="str">
        <x:v>Business Development Executive – Export-Import / EXIM</x:v>
      </x:c>
      <x:c r="C8" s="26" t="str">
        <x:v>Richmond Town, Bengaluru</x:v>
      </x:c>
      <x:c r="D8" s="26" t="str">
        <x:v>Fresher–1 year</x:v>
      </x:c>
      <x:c r="E8" s="26" t="str">
        <x:v>₹25,000–30,000/month</x:v>
      </x:c>
      <x:c r="F8" s="26" t="str">
        <x:v>Graduate</x:v>
      </x:c>
      <x:c r="G8" s="26" t="str">
        <x:v>International business; global trade; business development; communication</x:v>
      </x:c>
      <x:c r="H8" s="26" t="str">
        <x:v>https://in.indeed.com/</x:v>
      </x:c>
      <x:c r="I8" s="26" t="str">
        <x:v>Not publicly listed</x:v>
      </x:c>
      <x:c r="J8" s="26" t="str">
        <x:v>Not publicly listed</x:v>
      </x:c>
      <x:c r="K8" s="26" t="str">
        <x:v>Rolling</x:v>
      </x:c>
      <x:c r="L8" s="36" t="n">
        <x:v>10</x:v>
      </x:c>
      <x:c r="M8" s="26" t="str">
        <x:v>Direct export-import/global trade relevance; verify exact live Bangalore requisition before applying.</x:v>
      </x:c>
      <x:c r="N8" s="26" t="str">
        <x:v>Not Applied</x:v>
      </x:c>
      <x:c r="O8" s="26" t="str"/>
      <x:c r="P8" s="26" t="str"/>
      <x:c r="Q8" s="26" t="str">
        <x:v>Not Started</x:v>
      </x:c>
      <x:c r="R8" s="26" t="str"/>
    </x:row>
    <x:row r="9" ht="38" customHeight="1">
      <x:c r="A9" s="26" t="str">
        <x:v>First Citizens India</x:v>
      </x:c>
      <x:c r="B9" s="26" t="str">
        <x:v>Apprentice – Enterprise Operations</x:v>
      </x:c>
      <x:c r="C9" s="26" t="str">
        <x:v>Bengaluru</x:v>
      </x:c>
      <x:c r="D9" s="26" t="str">
        <x:v>Fresher; 2025/2026 graduates</x:v>
      </x:c>
      <x:c r="E9" s="26" t="str">
        <x:v>Not disclosed</x:v>
      </x:c>
      <x:c r="F9" s="26" t="str">
        <x:v>Graduate</x:v>
      </x:c>
      <x:c r="G9" s="26" t="str">
        <x:v>Banking operations; KYC; payments; onboarding; fraud-prevention operations</x:v>
      </x:c>
      <x:c r="H9" s="26" t="str">
        <x:v>https://svb.wd5.myworkdayjobs.com/en-US/firstcitizensindia/job/Apprentice---Enterprise-Operations_24763</x:v>
      </x:c>
      <x:c r="I9" s="26" t="str">
        <x:v>https://www.firstcitizens.com/careers</x:v>
      </x:c>
      <x:c r="J9" s="26" t="str">
        <x:v>Not publicly listed</x:v>
      </x:c>
      <x:c r="K9" s="26" t="str">
        <x:v>Verify live requisition</x:v>
      </x:c>
      <x:c r="L9" s="36" t="n">
        <x:v>9.7</x:v>
      </x:c>
      <x:c r="M9" s="26" t="str">
        <x:v>Strong banking/GCC entry point; public sources previously showed conflicting close dates.</x:v>
      </x:c>
      <x:c r="N9" s="26" t="str">
        <x:v>Not Applied</x:v>
      </x:c>
      <x:c r="O9" s="26" t="str"/>
      <x:c r="P9" s="26" t="str"/>
      <x:c r="Q9" s="26" t="str">
        <x:v>Not Started</x:v>
      </x:c>
      <x:c r="R9" s="26" t="str"/>
    </x:row>
    <x:row r="10" ht="38" customHeight="1">
      <x:c r="A10" s="26" t="str">
        <x:v>Accenture</x:v>
      </x:c>
      <x:c r="B10" s="26" t="str">
        <x:v>Procurement Practice – New Associate</x:v>
      </x:c>
      <x:c r="C10" s="26" t="str">
        <x:v>Bengaluru</x:v>
      </x:c>
      <x:c r="D10" s="26" t="str">
        <x:v>0–1 year</x:v>
      </x:c>
      <x:c r="E10" s="26" t="str">
        <x:v>Not disclosed</x:v>
      </x:c>
      <x:c r="F10" s="26" t="str">
        <x:v>BBA/B.Com/any graduation</x:v>
      </x:c>
      <x:c r="G10" s="26" t="str">
        <x:v>Procurement; operations; stakeholder management; Excel</x:v>
      </x:c>
      <x:c r="H10" s="26" t="str">
        <x:v>https://www.bayt.com/en/india/jobs/procurement-practice-new-associate-74253954/</x:v>
      </x:c>
      <x:c r="I10" s="26" t="str">
        <x:v>https://www.accenture.com/in-en/careers</x:v>
      </x:c>
      <x:c r="J10" s="26" t="str">
        <x:v>Not publicly listed</x:v>
      </x:c>
      <x:c r="K10" s="26" t="str">
        <x:v>Rolling</x:v>
      </x:c>
      <x:c r="L10" s="36" t="n">
        <x:v>9.5</x:v>
      </x:c>
      <x:c r="M10" s="26" t="str">
        <x:v>Direct procurement-operations path within a global consulting firm.</x:v>
      </x:c>
      <x:c r="N10" s="26" t="str">
        <x:v>Not Applied</x:v>
      </x:c>
      <x:c r="O10" s="26" t="str"/>
      <x:c r="P10" s="26" t="str"/>
      <x:c r="Q10" s="26" t="str">
        <x:v>Not Started</x:v>
      </x:c>
      <x:c r="R10" s="26" t="str"/>
    </x:row>
    <x:row r="11" ht="38" customHeight="1">
      <x:c r="A11" s="26" t="str">
        <x:v>Accenture</x:v>
      </x:c>
      <x:c r="B11" s="26" t="str">
        <x:v>Procure-to-Pay Operations – New Associate</x:v>
      </x:c>
      <x:c r="C11" s="26" t="str">
        <x:v>Bengaluru</x:v>
      </x:c>
      <x:c r="D11" s="26" t="str">
        <x:v>0–1 year</x:v>
      </x:c>
      <x:c r="E11" s="26" t="str">
        <x:v>Not disclosed</x:v>
      </x:c>
      <x:c r="F11" s="26" t="str">
        <x:v>BBA/B.Com/any graduation</x:v>
      </x:c>
      <x:c r="G11" s="26" t="str">
        <x:v>P2P; procurement; finance operations; ERP; reporting</x:v>
      </x:c>
      <x:c r="H11" s="26" t="str">
        <x:v>https://getmereferred.com/in/job-listing/procure-to-pay-operations-new-associate-accenture-inkabengaluru-to-3-years-experience-dfa4b245-c39f-4bcf-938c-ebbc53f06668</x:v>
      </x:c>
      <x:c r="I11" s="26" t="str">
        <x:v>https://www.accenture.com/in-en/careers</x:v>
      </x:c>
      <x:c r="J11" s="26" t="str">
        <x:v>Not publicly listed</x:v>
      </x:c>
      <x:c r="K11" s="26" t="str">
        <x:v>Rolling</x:v>
      </x:c>
      <x:c r="L11" s="36" t="n">
        <x:v>9.4</x:v>
      </x:c>
      <x:c r="M11" s="26" t="str">
        <x:v>Strong shared-services entry point for procurement and global operations.</x:v>
      </x:c>
      <x:c r="N11" s="26" t="str">
        <x:v>Not Applied</x:v>
      </x:c>
      <x:c r="O11" s="26" t="str"/>
      <x:c r="P11" s="26" t="str"/>
      <x:c r="Q11" s="26" t="str">
        <x:v>Not Started</x:v>
      </x:c>
      <x:c r="R11" s="26" t="str"/>
    </x:row>
    <x:row r="12" ht="38" customHeight="1">
      <x:c r="A12" s="26" t="str">
        <x:v>Ray Group of Company</x:v>
      </x:c>
      <x:c r="B12" s="26" t="str">
        <x:v>Purchase Officer</x:v>
      </x:c>
      <x:c r="C12" s="26" t="str">
        <x:v>Bengaluru</x:v>
      </x:c>
      <x:c r="D12" s="26" t="str">
        <x:v>0–1 year</x:v>
      </x:c>
      <x:c r="E12" s="26" t="str">
        <x:v>Not disclosed</x:v>
      </x:c>
      <x:c r="F12" s="26" t="str">
        <x:v>BBA / graduate</x:v>
      </x:c>
      <x:c r="G12" s="26" t="str">
        <x:v>Procurement; vendor negotiation; purchase orders; inventory; ERP/SAP</x:v>
      </x:c>
      <x:c r="H12" s="26" t="str">
        <x:v>https://in.indeed.com/</x:v>
      </x:c>
      <x:c r="I12" s="26" t="str">
        <x:v>Not publicly listed</x:v>
      </x:c>
      <x:c r="J12" s="26" t="str">
        <x:v>Not publicly listed</x:v>
      </x:c>
      <x:c r="K12" s="26" t="str">
        <x:v>Rolling</x:v>
      </x:c>
      <x:c r="L12" s="36" t="n">
        <x:v>9.2</x:v>
      </x:c>
      <x:c r="M12" s="26" t="str">
        <x:v>Direct procurement experience.</x:v>
      </x:c>
      <x:c r="N12" s="26" t="str">
        <x:v>Not Applied</x:v>
      </x:c>
      <x:c r="O12" s="26" t="str"/>
      <x:c r="P12" s="26" t="str"/>
      <x:c r="Q12" s="26" t="str">
        <x:v>Not Started</x:v>
      </x:c>
      <x:c r="R12" s="26" t="str"/>
    </x:row>
    <x:row r="13" ht="38" customHeight="1">
      <x:c r="A13" s="26" t="str">
        <x:v>CityGreens</x:v>
      </x:c>
      <x:c r="B13" s="26" t="str">
        <x:v>Operations Executive</x:v>
      </x:c>
      <x:c r="C13" s="26" t="str">
        <x:v>Bengaluru South</x:v>
      </x:c>
      <x:c r="D13" s="26" t="str">
        <x:v>0–1 year</x:v>
      </x:c>
      <x:c r="E13" s="26" t="str">
        <x:v>₹25,000/month</x:v>
      </x:c>
      <x:c r="F13" s="26" t="str">
        <x:v>BBA / graduate</x:v>
      </x:c>
      <x:c r="G13" s="26" t="str">
        <x:v>Procurement; supply chain; e-commerce; cross-office coordination</x:v>
      </x:c>
      <x:c r="H13" s="26" t="str">
        <x:v>https://in.indeed.com/</x:v>
      </x:c>
      <x:c r="I13" s="26" t="str">
        <x:v>https://www.citygreens.com/</x:v>
      </x:c>
      <x:c r="J13" s="26" t="str">
        <x:v>Not publicly listed</x:v>
      </x:c>
      <x:c r="K13" s="26" t="str">
        <x:v>Rolling</x:v>
      </x:c>
      <x:c r="L13" s="36" t="n">
        <x:v>9.1</x:v>
      </x:c>
      <x:c r="M13" s="26" t="str">
        <x:v>Good operations + supply chain exposure.</x:v>
      </x:c>
      <x:c r="N13" s="26" t="str">
        <x:v>Not Applied</x:v>
      </x:c>
      <x:c r="O13" s="26" t="str"/>
      <x:c r="P13" s="26" t="str"/>
      <x:c r="Q13" s="26" t="str">
        <x:v>Not Started</x:v>
      </x:c>
      <x:c r="R13" s="26" t="str"/>
    </x:row>
    <x:row r="14" ht="38" customHeight="1">
      <x:c r="A14" s="26" t="str">
        <x:v>ValetEZ</x:v>
      </x:c>
      <x:c r="B14" s="26" t="str">
        <x:v>Project Coordinator – Deployment Operations</x:v>
      </x:c>
      <x:c r="C14" s="26" t="str">
        <x:v>Ramamurthy Nagar, Bengaluru</x:v>
      </x:c>
      <x:c r="D14" s="26" t="str">
        <x:v>Freshers may apply</x:v>
      </x:c>
      <x:c r="E14" s="26" t="str">
        <x:v>₹12,000–15,000/month</x:v>
      </x:c>
      <x:c r="F14" s="26" t="str">
        <x:v>BBA/Commerce/Supply Chain/Operations</x:v>
      </x:c>
      <x:c r="G14" s="26" t="str">
        <x:v>Excel; Google Sheets; inventory; documentation; vendor coordination; import/export documentation</x:v>
      </x:c>
      <x:c r="H14" s="26" t="str">
        <x:v>https://to.indeed.com/aayhn24fbtxf</x:v>
      </x:c>
      <x:c r="I14" s="26" t="str">
        <x:v>https://www.valetez.com/</x:v>
      </x:c>
      <x:c r="J14" s="26" t="str">
        <x:v>Not publicly listed</x:v>
      </x:c>
      <x:c r="K14" s="26" t="str">
        <x:v>Rolling</x:v>
      </x:c>
      <x:c r="L14" s="36" t="n">
        <x:v>9</x:v>
      </x:c>
      <x:c r="M14" s="26" t="str">
        <x:v>Very relevant work, but low compensation.</x:v>
      </x:c>
      <x:c r="N14" s="26" t="str">
        <x:v>Not Applied</x:v>
      </x:c>
      <x:c r="O14" s="26" t="str"/>
      <x:c r="P14" s="26" t="str"/>
      <x:c r="Q14" s="26" t="str">
        <x:v>Not Started</x:v>
      </x:c>
      <x:c r="R14" s="26" t="str"/>
    </x:row>
    <x:row r="15" ht="38" customHeight="1">
      <x:c r="A15" s="26" t="str">
        <x:v>TIF Labs</x:v>
      </x:c>
      <x:c r="B15" s="26" t="str">
        <x:v>Logistics Associate</x:v>
      </x:c>
      <x:c r="C15" s="26" t="str">
        <x:v>Kalyan Nagar, Bengaluru</x:v>
      </x:c>
      <x:c r="D15" s="26" t="str">
        <x:v>2+ years preferred</x:v>
      </x:c>
      <x:c r="E15" s="26" t="str">
        <x:v>Up to ₹35,000/month</x:v>
      </x:c>
      <x:c r="F15" s="26" t="str">
        <x:v>BBA/International Business/Logistics/Supply Chain</x:v>
      </x:c>
      <x:c r="G15" s="26" t="str">
        <x:v>Import shipments; customs; DGFT; HSN; Incoterms; freight forwarders; shipping documents</x:v>
      </x:c>
      <x:c r="H15" s="26" t="str">
        <x:v>https://to.indeed.com/aa4bjfjtnys6</x:v>
      </x:c>
      <x:c r="I15" s="26" t="str">
        <x:v>Not publicly listed</x:v>
      </x:c>
      <x:c r="J15" s="26" t="str">
        <x:v>Not publicly listed</x:v>
      </x:c>
      <x:c r="K15" s="26" t="str">
        <x:v>Rolling</x:v>
      </x:c>
      <x:c r="L15" s="36" t="n">
        <x:v>9.5</x:v>
      </x:c>
      <x:c r="M15" s="26" t="str">
        <x:v>Excellent technical trade/logistics relevance; stretch role for fresher.</x:v>
      </x:c>
      <x:c r="N15" s="26" t="str">
        <x:v>Not Applied</x:v>
      </x:c>
      <x:c r="O15" s="26" t="str"/>
      <x:c r="P15" s="26" t="str"/>
      <x:c r="Q15" s="26" t="str">
        <x:v>Not Started</x:v>
      </x:c>
      <x:c r="R15" s="26" t="str"/>
    </x:row>
    <x:row r="16" ht="38" customHeight="1">
      <x:c r="A16" s="26" t="str">
        <x:v>Tradepass</x:v>
      </x:c>
      <x:c r="B16" s="26" t="str">
        <x:v>Business Development Executive</x:v>
      </x:c>
      <x:c r="C16" s="26" t="str">
        <x:v>Bengaluru</x:v>
      </x:c>
      <x:c r="D16" s="26" t="str">
        <x:v>Fresher</x:v>
      </x:c>
      <x:c r="E16" s="26" t="str">
        <x:v>₹25,000–35,000/month</x:v>
      </x:c>
      <x:c r="F16" s="26" t="str">
        <x:v>Graduate</x:v>
      </x:c>
      <x:c r="G16" s="26" t="str">
        <x:v>B2B delegate sales; executive prospecting; CRM; international markets; travel</x:v>
      </x:c>
      <x:c r="H16" s="26" t="str">
        <x:v>https://to.indeed.com/aay9gc8k7vhx</x:v>
      </x:c>
      <x:c r="I16" s="26" t="str">
        <x:v>https://tradepassglobal.com/</x:v>
      </x:c>
      <x:c r="J16" s="26" t="str">
        <x:v>Not publicly listed</x:v>
      </x:c>
      <x:c r="K16" s="26" t="str">
        <x:v>Rolling</x:v>
      </x:c>
      <x:c r="L16" s="36" t="n">
        <x:v>9.2</x:v>
      </x:c>
      <x:c r="M16" s="26" t="str">
        <x:v>International markets and potential international travel.</x:v>
      </x:c>
      <x:c r="N16" s="26" t="str">
        <x:v>Not Applied</x:v>
      </x:c>
      <x:c r="O16" s="26" t="str"/>
      <x:c r="P16" s="26" t="str"/>
      <x:c r="Q16" s="26" t="str">
        <x:v>Not Started</x:v>
      </x:c>
      <x:c r="R16" s="26" t="str"/>
    </x:row>
    <x:row r="17" ht="38" customHeight="1">
      <x:c r="A17" s="26" t="str">
        <x:v>BrightCHAMPS</x:v>
      </x:c>
      <x:c r="B17" s="26" t="str">
        <x:v>Business Development Executive – International Sales</x:v>
      </x:c>
      <x:c r="C17" s="26" t="str">
        <x:v>HSR Layout, Bengaluru</x:v>
      </x:c>
      <x:c r="D17" s="26" t="str">
        <x:v>0–3 years / freshers</x:v>
      </x:c>
      <x:c r="E17" s="26" t="str">
        <x:v>₹3.5–4.6 LPA + incentives</x:v>
      </x:c>
      <x:c r="F17" s="26" t="str">
        <x:v>Graduate</x:v>
      </x:c>
      <x:c r="G17" s="26" t="str">
        <x:v>International sales; CRM; negotiation; customer acquisition</x:v>
      </x:c>
      <x:c r="H17" s="26" t="str">
        <x:v>https://to.indeed.com/aadmxwghbcvp</x:v>
      </x:c>
      <x:c r="I17" s="26" t="str">
        <x:v>https://brightchamps.com/careers</x:v>
      </x:c>
      <x:c r="J17" s="26" t="str">
        <x:v>Not publicly listed</x:v>
      </x:c>
      <x:c r="K17" s="26" t="str">
        <x:v>Rolling</x:v>
      </x:c>
      <x:c r="L17" s="36" t="n">
        <x:v>8.8</x:v>
      </x:c>
      <x:c r="M17" s="26" t="str">
        <x:v>Strong international-market exposure; six-day schedule noted in prior scan.</x:v>
      </x:c>
      <x:c r="N17" s="26" t="str">
        <x:v>Not Applied</x:v>
      </x:c>
      <x:c r="O17" s="26" t="str"/>
      <x:c r="P17" s="26" t="str"/>
      <x:c r="Q17" s="26" t="str">
        <x:v>Not Started</x:v>
      </x:c>
      <x:c r="R17" s="26" t="str"/>
    </x:row>
    <x:row r="18" ht="38" customHeight="1">
      <x:c r="A18" s="26" t="str">
        <x:v>MHS</x:v>
      </x:c>
      <x:c r="B18" s="26" t="str">
        <x:v>Business Development Executive</x:v>
      </x:c>
      <x:c r="C18" s="26" t="str">
        <x:v>Bengaluru</x:v>
      </x:c>
      <x:c r="D18" s="26" t="str">
        <x:v>Fresher–3 years</x:v>
      </x:c>
      <x:c r="E18" s="26" t="str">
        <x:v>₹3–5 LPA</x:v>
      </x:c>
      <x:c r="F18" s="26" t="str">
        <x:v>BBA/B.Com/BCA/MBA/graduate</x:v>
      </x:c>
      <x:c r="G18" s="26" t="str">
        <x:v>Lead generation; CRM; client relationships; sales</x:v>
      </x:c>
      <x:c r="H18" s="26" t="str">
        <x:v>https://to.indeed.com/aa7lqzzmnvc</x:v>
      </x:c>
      <x:c r="I18" s="26" t="str">
        <x:v>Not publicly listed</x:v>
      </x:c>
      <x:c r="J18" s="26" t="str">
        <x:v>sony@myhaulstore.com | 8296015762</x:v>
      </x:c>
      <x:c r="K18" s="26" t="str">
        <x:v>Rolling</x:v>
      </x:c>
      <x:c r="L18" s="36" t="n">
        <x:v>8.5</x:v>
      </x:c>
      <x:c r="M18" s="26" t="str">
        <x:v>Direct contact published in prior scan.</x:v>
      </x:c>
      <x:c r="N18" s="26" t="str">
        <x:v>Not Applied</x:v>
      </x:c>
      <x:c r="O18" s="26" t="str"/>
      <x:c r="P18" s="26" t="str"/>
      <x:c r="Q18" s="26" t="str">
        <x:v>Not Started</x:v>
      </x:c>
      <x:c r="R18" s="26" t="str"/>
    </x:row>
    <x:row r="19" ht="38" customHeight="1">
      <x:c r="A19" s="26" t="str">
        <x:v>Dlife Interiors</x:v>
      </x:c>
      <x:c r="B19" s="26" t="str">
        <x:v>Business Development Associate</x:v>
      </x:c>
      <x:c r="C19" s="26" t="str">
        <x:v>Bengaluru</x:v>
      </x:c>
      <x:c r="D19" s="26" t="str">
        <x:v>Fresher / 1–2 years</x:v>
      </x:c>
      <x:c r="E19" s="26" t="str">
        <x:v>₹28,000–33,000/month</x:v>
      </x:c>
      <x:c r="F19" s="26" t="str">
        <x:v>BBA / MBA Sales &amp; Marketing</x:v>
      </x:c>
      <x:c r="G19" s="26" t="str">
        <x:v>Lead generation; relationships; market knowledge; Excel</x:v>
      </x:c>
      <x:c r="H19" s="26" t="str">
        <x:v>https://to.indeed.com/aaswvdhscvqy</x:v>
      </x:c>
      <x:c r="I19" s="26" t="str">
        <x:v>Not publicly listed</x:v>
      </x:c>
      <x:c r="J19" s="26" t="str">
        <x:v>Not publicly listed</x:v>
      </x:c>
      <x:c r="K19" s="26" t="str">
        <x:v>Rolling</x:v>
      </x:c>
      <x:c r="L19" s="36" t="n">
        <x:v>8.3</x:v>
      </x:c>
      <x:c r="M19" s="26" t="str">
        <x:v>Good commercial/sales foundation.</x:v>
      </x:c>
      <x:c r="N19" s="26" t="str">
        <x:v>Not Applied</x:v>
      </x:c>
      <x:c r="O19" s="26" t="str"/>
      <x:c r="P19" s="26" t="str"/>
      <x:c r="Q19" s="26" t="str">
        <x:v>Not Started</x:v>
      </x:c>
      <x:c r="R19" s="26" t="str"/>
    </x:row>
    <x:row r="20" ht="38" customHeight="1">
      <x:c r="A20" s="26" t="str">
        <x:v>Rohana Veterinary Diagnostic Lab</x:v>
      </x:c>
      <x:c r="B20" s="26" t="str">
        <x:v>Business Development Executive</x:v>
      </x:c>
      <x:c r="C20" s="26" t="str">
        <x:v>Sanjay Nagar, Bengaluru</x:v>
      </x:c>
      <x:c r="D20" s="26" t="str">
        <x:v>0–3 years</x:v>
      </x:c>
      <x:c r="E20" s="26" t="str">
        <x:v>₹19,000–30,000/month</x:v>
      </x:c>
      <x:c r="F20" s="26" t="str">
        <x:v>BBA/B.Com/B.Sc/non-IT bachelor’s</x:v>
      </x:c>
      <x:c r="G20" s="26" t="str">
        <x:v>Lead generation; client visits; relationship management</x:v>
      </x:c>
      <x:c r="H20" s="26" t="str">
        <x:v>https://to.indeed.com/aa4ztmfnp64f</x:v>
      </x:c>
      <x:c r="I20" s="26" t="str">
        <x:v>Not publicly listed</x:v>
      </x:c>
      <x:c r="J20" s="26" t="str">
        <x:v>9480880919 | 9480880921</x:v>
      </x:c>
      <x:c r="K20" s="26" t="str">
        <x:v>Rolling</x:v>
      </x:c>
      <x:c r="L20" s="36" t="n">
        <x:v>7.8</x:v>
      </x:c>
      <x:c r="M20" s="26" t="str">
        <x:v>Fresher-friendly; lower International Business relevance.</x:v>
      </x:c>
      <x:c r="N20" s="26" t="str">
        <x:v>Not Applied</x:v>
      </x:c>
      <x:c r="O20" s="26" t="str"/>
      <x:c r="P20" s="26" t="str"/>
      <x:c r="Q20" s="26" t="str">
        <x:v>Not Started</x:v>
      </x:c>
      <x:c r="R20" s="26" t="str"/>
    </x:row>
    <x:row r="21" ht="38" customHeight="1">
      <x:c r="A21" s="26" t="str">
        <x:v>Consultants Factory</x:v>
      </x:c>
      <x:c r="B21" s="26" t="str">
        <x:v>Trainee Business Development Executive</x:v>
      </x:c>
      <x:c r="C21" s="26" t="str">
        <x:v>Bannerghatta, Bengaluru</x:v>
      </x:c>
      <x:c r="D21" s="26" t="str">
        <x:v>Fresher</x:v>
      </x:c>
      <x:c r="E21" s="26" t="str">
        <x:v>₹15,000–25,000/month</x:v>
      </x:c>
      <x:c r="F21" s="26" t="str">
        <x:v>BBA/B.Com/MBA</x:v>
      </x:c>
      <x:c r="G21" s="26" t="str">
        <x:v>Excel; MS Office; English; lead management; full sales cycle</x:v>
      </x:c>
      <x:c r="H21" s="26" t="str">
        <x:v>https://to.indeed.com/aa4zvc6yqzr9</x:v>
      </x:c>
      <x:c r="I21" s="26" t="str">
        <x:v>Not publicly listed</x:v>
      </x:c>
      <x:c r="J21" s="26" t="str">
        <x:v>Not publicly listed</x:v>
      </x:c>
      <x:c r="K21" s="26" t="str">
        <x:v>Rolling</x:v>
      </x:c>
      <x:c r="L21" s="36" t="n">
        <x:v>8.7</x:v>
      </x:c>
      <x:c r="M21" s="26" t="str">
        <x:v>Company serves India, EMEA, Europe and US clients.</x:v>
      </x:c>
      <x:c r="N21" s="26" t="str">
        <x:v>Not Applied</x:v>
      </x:c>
      <x:c r="O21" s="26" t="str"/>
      <x:c r="P21" s="26" t="str"/>
      <x:c r="Q21" s="26" t="str">
        <x:v>Not Started</x:v>
      </x:c>
      <x:c r="R21" s="26" t="str"/>
    </x:row>
    <x:row r="22" ht="38" customHeight="1">
      <x:c r="A22" s="26" t="str">
        <x:v>TechKshetra Info Solutions</x:v>
      </x:c>
      <x:c r="B22" s="26" t="str">
        <x:v>IT Sales Executive / Business Development Executive</x:v>
      </x:c>
      <x:c r="C22" s="26" t="str">
        <x:v>Bangalore</x:v>
      </x:c>
      <x:c r="D22" s="26" t="str">
        <x:v>0–1 year / fresher</x:v>
      </x:c>
      <x:c r="E22" s="26" t="str">
        <x:v>₹3–5.5 LPA + uncapped incentives</x:v>
      </x:c>
      <x:c r="F22" s="26" t="str">
        <x:v>BBA/B.Com/any graduate</x:v>
      </x:c>
      <x:c r="G22" s="26" t="str">
        <x:v>B2B SaaS; AI/ERP sales; outbound sales; CRM; email/WhatsApp follow-up</x:v>
      </x:c>
      <x:c r="H22" s="26" t="str">
        <x:v>https://to.indeed.com/aazmd6jh7vnz</x:v>
      </x:c>
      <x:c r="I22" s="26" t="str">
        <x:v>https://techkshetrainfo.com/</x:v>
      </x:c>
      <x:c r="J22" s="26" t="str">
        <x:v>hr@techkshetrainfo.com | 7090178889</x:v>
      </x:c>
      <x:c r="K22" s="26" t="str">
        <x:v>Rolling</x:v>
      </x:c>
      <x:c r="L22" s="36" t="n">
        <x:v>9</x:v>
      </x:c>
      <x:c r="M22" s="26" t="str">
        <x:v>Strong AI + corporate sales option; BBA explicitly accepted.</x:v>
      </x:c>
      <x:c r="N22" s="26" t="str">
        <x:v>Not Applied</x:v>
      </x:c>
      <x:c r="O22" s="26" t="str"/>
      <x:c r="P22" s="26" t="str"/>
      <x:c r="Q22" s="26" t="str">
        <x:v>Not Started</x:v>
      </x:c>
      <x:c r="R22" s="26" t="str"/>
    </x:row>
    <x:row r="23" ht="38" customHeight="1">
      <x:c r="A23" s="26" t="str">
        <x:v>Potful India</x:v>
      </x:c>
      <x:c r="B23" s="26" t="str">
        <x:v>Customer Support &amp; Business Analyst Executive</x:v>
      </x:c>
      <x:c r="C23" s="26" t="str">
        <x:v>Bengaluru</x:v>
      </x:c>
      <x:c r="D23" s="26" t="str">
        <x:v>Fresher</x:v>
      </x:c>
      <x:c r="E23" s="26" t="str">
        <x:v>₹19,000–20,000/month</x:v>
      </x:c>
      <x:c r="F23" s="26" t="str">
        <x:v>BBA</x:v>
      </x:c>
      <x:c r="G23" s="26" t="str">
        <x:v>Excel/Sheets; KPI reporting; operations; business analysis</x:v>
      </x:c>
      <x:c r="H23" s="26" t="str">
        <x:v>https://in.indeed.com/</x:v>
      </x:c>
      <x:c r="I23" s="26" t="str">
        <x:v>Not publicly listed</x:v>
      </x:c>
      <x:c r="J23" s="26" t="str">
        <x:v>Not publicly listed</x:v>
      </x:c>
      <x:c r="K23" s="26" t="str">
        <x:v>Rolling</x:v>
      </x:c>
      <x:c r="L23" s="36" t="n">
        <x:v>8.8</x:v>
      </x:c>
      <x:c r="M23" s="26" t="str">
        <x:v>Good business-analytics/operations foundation.</x:v>
      </x:c>
      <x:c r="N23" s="26" t="str">
        <x:v>Not Applied</x:v>
      </x:c>
      <x:c r="O23" s="26" t="str"/>
      <x:c r="P23" s="26" t="str"/>
      <x:c r="Q23" s="26" t="str">
        <x:v>Not Started</x:v>
      </x:c>
      <x:c r="R23" s="26" t="str"/>
    </x:row>
    <x:row r="24" ht="38" customHeight="1">
      <x:c r="A24" s="26" t="str">
        <x:v>Quest For Nest</x:v>
      </x:c>
      <x:c r="B24" s="26" t="str">
        <x:v>Business Development Associate</x:v>
      </x:c>
      <x:c r="C24" s="26" t="str">
        <x:v>Bengaluru</x:v>
      </x:c>
      <x:c r="D24" s="26" t="str">
        <x:v>0–2 years</x:v>
      </x:c>
      <x:c r="E24" s="26" t="str">
        <x:v>₹25,000/month</x:v>
      </x:c>
      <x:c r="F24" s="26" t="str">
        <x:v>Graduate / BBA preferred</x:v>
      </x:c>
      <x:c r="G24" s="26" t="str">
        <x:v>Lead generation; sales; CRM; customer relationships</x:v>
      </x:c>
      <x:c r="H24" s="26" t="str">
        <x:v>https://in.indeed.com/</x:v>
      </x:c>
      <x:c r="I24" s="26" t="str">
        <x:v>Not publicly listed</x:v>
      </x:c>
      <x:c r="J24" s="26" t="str">
        <x:v>Not publicly listed</x:v>
      </x:c>
      <x:c r="K24" s="26" t="str">
        <x:v>12-Sep-2026</x:v>
      </x:c>
      <x:c r="L24" s="36" t="n">
        <x:v>8.7</x:v>
      </x:c>
      <x:c r="M24" s="26" t="str">
        <x:v>Recently posted in prior scan; deadline explicitly listed.</x:v>
      </x:c>
      <x:c r="N24" s="26" t="str">
        <x:v>Not Applied</x:v>
      </x:c>
      <x:c r="O24" s="26" t="str"/>
      <x:c r="P24" s="26" t="str"/>
      <x:c r="Q24" s="26" t="str">
        <x:v>Not Started</x:v>
      </x:c>
      <x:c r="R24" s="26" t="str"/>
    </x:row>
    <x:row r="25" ht="38" customHeight="1">
      <x:c r="A25" s="26" t="str">
        <x:v>Stone Oak Strategy</x:v>
      </x:c>
      <x:c r="B25" s="26" t="str">
        <x:v>Relationship Manager – Retail Investors</x:v>
      </x:c>
      <x:c r="C25" s="26" t="str">
        <x:v>Bengaluru</x:v>
      </x:c>
      <x:c r="D25" s="26" t="str">
        <x:v>Fresher</x:v>
      </x:c>
      <x:c r="E25" s="26" t="str">
        <x:v>₹3.5–4.5 LPA</x:v>
      </x:c>
      <x:c r="F25" s="26" t="str">
        <x:v>BBA accepted</x:v>
      </x:c>
      <x:c r="G25" s="26" t="str">
        <x:v>Client management; financial services; relationship building</x:v>
      </x:c>
      <x:c r="H25" s="26" t="str">
        <x:v>https://in.indeed.com/</x:v>
      </x:c>
      <x:c r="I25" s="26" t="str">
        <x:v>Not publicly listed</x:v>
      </x:c>
      <x:c r="J25" s="26" t="str">
        <x:v>Not publicly listed</x:v>
      </x:c>
      <x:c r="K25" s="26" t="str">
        <x:v>05-Sep-2026</x:v>
      </x:c>
      <x:c r="L25" s="36" t="n">
        <x:v>8.4</x:v>
      </x:c>
      <x:c r="M25" s="26" t="str">
        <x:v>Finance/client-management route.</x:v>
      </x:c>
      <x:c r="N25" s="26" t="str">
        <x:v>Not Applied</x:v>
      </x:c>
      <x:c r="O25" s="26" t="str"/>
      <x:c r="P25" s="26" t="str"/>
      <x:c r="Q25" s="26" t="str">
        <x:v>Not Started</x:v>
      </x:c>
      <x:c r="R25" s="26" t="str"/>
    </x:row>
    <x:row r="26" ht="38" customHeight="1">
      <x:c r="A26" s="26" t="str">
        <x:v>Furlenco</x:v>
      </x:c>
      <x:c r="B26" s="26" t="str">
        <x:v>Operations Associate</x:v>
      </x:c>
      <x:c r="C26" s="26" t="str">
        <x:v>Bengaluru</x:v>
      </x:c>
      <x:c r="D26" s="26" t="str">
        <x:v>Fresher</x:v>
      </x:c>
      <x:c r="E26" s="26" t="str">
        <x:v>₹2–3 LPA</x:v>
      </x:c>
      <x:c r="F26" s="26" t="str">
        <x:v>Graduate</x:v>
      </x:c>
      <x:c r="G26" s="26" t="str">
        <x:v>Supply-chain scheduling; operations</x:v>
      </x:c>
      <x:c r="H26" s="26" t="str">
        <x:v>https://in.indeed.com/</x:v>
      </x:c>
      <x:c r="I26" s="26" t="str">
        <x:v>https://furlenco.com/</x:v>
      </x:c>
      <x:c r="J26" s="26" t="str">
        <x:v>Not publicly listed</x:v>
      </x:c>
      <x:c r="K26" s="26" t="str">
        <x:v>06-Sep-2026</x:v>
      </x:c>
      <x:c r="L26" s="36" t="n">
        <x:v>8.3</x:v>
      </x:c>
      <x:c r="M26" s="26" t="str">
        <x:v>Good operations entry point.</x:v>
      </x:c>
      <x:c r="N26" s="26" t="str">
        <x:v>Not Applied</x:v>
      </x:c>
      <x:c r="O26" s="26" t="str"/>
      <x:c r="P26" s="26" t="str"/>
      <x:c r="Q26" s="26" t="str">
        <x:v>Not Started</x:v>
      </x:c>
      <x:c r="R26" s="26" t="str"/>
    </x:row>
    <x:row r="27" ht="38" customHeight="1">
      <x:c r="A27" s="26" t="str">
        <x:v>Dezerv</x:v>
      </x:c>
      <x:c r="B27" s="26" t="str">
        <x:v>Business Development Associate</x:v>
      </x:c>
      <x:c r="C27" s="26" t="str">
        <x:v>Bengaluru</x:v>
      </x:c>
      <x:c r="D27" s="26" t="str">
        <x:v>Fresher</x:v>
      </x:c>
      <x:c r="E27" s="26" t="str">
        <x:v>₹60/hour</x:v>
      </x:c>
      <x:c r="F27" s="26" t="str">
        <x:v>Graduate</x:v>
      </x:c>
      <x:c r="G27" s="26" t="str">
        <x:v>HNI/UHNI client acquisition; business development</x:v>
      </x:c>
      <x:c r="H27" s="26" t="str">
        <x:v>https://in.indeed.com/</x:v>
      </x:c>
      <x:c r="I27" s="26" t="str">
        <x:v>https://www.dezerv.in/</x:v>
      </x:c>
      <x:c r="J27" s="26" t="str">
        <x:v>Not publicly listed</x:v>
      </x:c>
      <x:c r="K27" s="26" t="str">
        <x:v>28-Aug-2026</x:v>
      </x:c>
      <x:c r="L27" s="36" t="n">
        <x:v>8.2</x:v>
      </x:c>
      <x:c r="M27" s="26" t="str">
        <x:v>Finance exposure but compensation model differs from standard salary.</x:v>
      </x:c>
      <x:c r="N27" s="26" t="str">
        <x:v>Not Applied</x:v>
      </x:c>
      <x:c r="O27" s="26" t="str"/>
      <x:c r="P27" s="26" t="str"/>
      <x:c r="Q27" s="26" t="str">
        <x:v>Not Started</x:v>
      </x:c>
      <x:c r="R27" s="26" t="str"/>
    </x:row>
    <x:row r="28" ht="38" customHeight="1">
      <x:c r="A28" s="26" t="str">
        <x:v>Wiffy Tech</x:v>
      </x:c>
      <x:c r="B28" s="26" t="str">
        <x:v>Operations Executive</x:v>
      </x:c>
      <x:c r="C28" s="26" t="str">
        <x:v>Bengaluru</x:v>
      </x:c>
      <x:c r="D28" s="26" t="str">
        <x:v>Fresher</x:v>
      </x:c>
      <x:c r="E28" s="26" t="str">
        <x:v>₹3.12–3.48 LPA</x:v>
      </x:c>
      <x:c r="F28" s="26" t="str">
        <x:v>Graduate</x:v>
      </x:c>
      <x:c r="G28" s="26" t="str">
        <x:v>Service operations; coordination; execution</x:v>
      </x:c>
      <x:c r="H28" s="26" t="str">
        <x:v>https://in.indeed.com/</x:v>
      </x:c>
      <x:c r="I28" s="26" t="str">
        <x:v>Not publicly listed</x:v>
      </x:c>
      <x:c r="J28" s="26" t="str">
        <x:v>Not publicly listed</x:v>
      </x:c>
      <x:c r="K28" s="26" t="str">
        <x:v>23-Aug-2026</x:v>
      </x:c>
      <x:c r="L28" s="36" t="n">
        <x:v>8</x:v>
      </x:c>
      <x:c r="M28" s="26" t="str">
        <x:v>Immediate operations role; deadline noted in prior scan.</x:v>
      </x:c>
      <x:c r="N28" s="26" t="str">
        <x:v>Not Applied</x:v>
      </x:c>
      <x:c r="O28" s="26" t="str"/>
      <x:c r="P28" s="26" t="str"/>
      <x:c r="Q28" s="26" t="str">
        <x:v>Not Started</x:v>
      </x:c>
      <x:c r="R28" s="26" t="str"/>
    </x:row>
    <x:row r="29" ht="38" customHeight="1">
      <x:c r="A29" s="26" t="str">
        <x:v>Aishwarya Group</x:v>
      </x:c>
      <x:c r="B29" s="26" t="str">
        <x:v>Business Development Executive</x:v>
      </x:c>
      <x:c r="C29" s="26" t="str">
        <x:v>Bengaluru</x:v>
      </x:c>
      <x:c r="D29" s="26" t="str">
        <x:v>Fresher</x:v>
      </x:c>
      <x:c r="E29" s="26" t="str">
        <x:v>₹20,000–50,000/month + incentives</x:v>
      </x:c>
      <x:c r="F29" s="26" t="str">
        <x:v>Bachelor’s degree</x:v>
      </x:c>
      <x:c r="G29" s="26" t="str">
        <x:v>Lead generation; client relationships; negotiation; CRM</x:v>
      </x:c>
      <x:c r="H29" s="26" t="str">
        <x:v>https://to.indeed.com/aagld4cwymqj</x:v>
      </x:c>
      <x:c r="I29" s="26" t="str">
        <x:v>Not publicly listed</x:v>
      </x:c>
      <x:c r="J29" s="26" t="str">
        <x:v>Not publicly listed</x:v>
      </x:c>
      <x:c r="K29" s="26" t="str">
        <x:v>Rolling</x:v>
      </x:c>
      <x:c r="L29" s="36" t="n">
        <x:v>7.6</x:v>
      </x:c>
      <x:c r="M29" s="26" t="str">
        <x:v>Fresh listing; industry less aligned with International Business.</x:v>
      </x:c>
      <x:c r="N29" s="26" t="str">
        <x:v>Not Applied</x:v>
      </x:c>
      <x:c r="O29" s="26" t="str"/>
      <x:c r="P29" s="26" t="str"/>
      <x:c r="Q29" s="26" t="str">
        <x:v>Not Started</x:v>
      </x:c>
      <x:c r="R29" s="26" t="str"/>
    </x:row>
    <x:row r="30" ht="38" customHeight="1">
      <x:c r="A30" s="26" t="str">
        <x:v>LanceSoft</x:v>
      </x:c>
      <x:c r="B30" s="26" t="str">
        <x:v>US Recruiter / Management Trainee</x:v>
      </x:c>
      <x:c r="C30" s="26" t="str">
        <x:v>Whitefield, Bengaluru</x:v>
      </x:c>
      <x:c r="D30" s="26" t="str">
        <x:v>Fresher</x:v>
      </x:c>
      <x:c r="E30" s="26" t="str">
        <x:v>₹22,000/month + incentives</x:v>
      </x:c>
      <x:c r="F30" s="26" t="str">
        <x:v>Graduate</x:v>
      </x:c>
      <x:c r="G30" s="26" t="str">
        <x:v>English communication; recruitment; international staffing; targets</x:v>
      </x:c>
      <x:c r="H30" s="26" t="str">
        <x:v>https://to.indeed.com/aams9xcmqkvc</x:v>
      </x:c>
      <x:c r="I30" s="26" t="str">
        <x:v>Not publicly listed</x:v>
      </x:c>
      <x:c r="J30" s="26" t="str">
        <x:v>9535455196</x:v>
      </x:c>
      <x:c r="K30" s="26" t="str">
        <x:v>Rolling</x:v>
      </x:c>
      <x:c r="L30" s="36" t="n">
        <x:v>7.5</x:v>
      </x:c>
      <x:c r="M30" s="26" t="str">
        <x:v>International exposure; night shift is a drawback.</x:v>
      </x:c>
      <x:c r="N30" s="26" t="str">
        <x:v>Not Applied</x:v>
      </x:c>
      <x:c r="O30" s="26" t="str"/>
      <x:c r="P30" s="26" t="str"/>
      <x:c r="Q30" s="26" t="str">
        <x:v>Not Started</x:v>
      </x:c>
      <x:c r="R30" s="26" t="str"/>
    </x:row>
    <x:row r="31" ht="38" customHeight="1">
      <x:c r="A31" s="26" t="str">
        <x:v>MAC Machine Tools &amp; Automation</x:v>
      </x:c>
      <x:c r="B31" s="26" t="str">
        <x:v>Marketing Executive / Trainee</x:v>
      </x:c>
      <x:c r="C31" s="26" t="str">
        <x:v>Peenya, Bengaluru</x:v>
      </x:c>
      <x:c r="D31" s="26" t="str">
        <x:v>Fresher–1 year</x:v>
      </x:c>
      <x:c r="E31" s="26" t="str">
        <x:v>₹15,000–25,000/month</x:v>
      </x:c>
      <x:c r="F31" s="26" t="str">
        <x:v>BBA/Marketing/related</x:v>
      </x:c>
      <x:c r="G31" s="26" t="str">
        <x:v>Marketing operations; content; social media; website management; reporting</x:v>
      </x:c>
      <x:c r="H31" s="26" t="str">
        <x:v>https://to.indeed.com/aaz6xbcgvwtxg</x:v>
      </x:c>
      <x:c r="I31" s="26" t="str">
        <x:v>Not publicly listed</x:v>
      </x:c>
      <x:c r="J31" s="26" t="str">
        <x:v>Not publicly listed</x:v>
      </x:c>
      <x:c r="K31" s="26" t="str">
        <x:v>Rolling</x:v>
      </x:c>
      <x:c r="L31" s="36" t="n">
        <x:v>7.7</x:v>
      </x:c>
      <x:c r="M31" s="26" t="str">
        <x:v>Useful commercial/marketing foundation.</x:v>
      </x:c>
      <x:c r="N31" s="26" t="str">
        <x:v>Not Applied</x:v>
      </x:c>
      <x:c r="O31" s="26" t="str"/>
      <x:c r="P31" s="26" t="str"/>
      <x:c r="Q31" s="26" t="str">
        <x:v>Not Started</x:v>
      </x:c>
      <x:c r="R31" s="26" t="str"/>
    </x:row>
    <x:row r="32" ht="38" customHeight="1">
      <x:c r="A32" s="26" t="str">
        <x:v>Perssist Corp / Krismar</x:v>
      </x:c>
      <x:c r="B32" s="26" t="str">
        <x:v>Management Trainee – Sales</x:v>
      </x:c>
      <x:c r="C32" s="26" t="str">
        <x:v>Sarjapura, Bengaluru</x:v>
      </x:c>
      <x:c r="D32" s="26" t="str">
        <x:v>Fresher–2 years</x:v>
      </x:c>
      <x:c r="E32" s="26" t="str">
        <x:v>₹30,000–40,000/month</x:v>
      </x:c>
      <x:c r="F32" s="26" t="str">
        <x:v>Graduate</x:v>
      </x:c>
      <x:c r="G32" s="26" t="str">
        <x:v>Sales; customer handling; inventory; dispatch; procurement; Excel</x:v>
      </x:c>
      <x:c r="H32" s="26" t="str">
        <x:v>https://to.indeed.com/aads9jx4cck7</x:v>
      </x:c>
      <x:c r="I32" s="26" t="str">
        <x:v>Not publicly listed</x:v>
      </x:c>
      <x:c r="J32" s="26" t="str">
        <x:v>Not publicly listed</x:v>
      </x:c>
      <x:c r="K32" s="26" t="str">
        <x:v>Rolling</x:v>
      </x:c>
      <x:c r="L32" s="36" t="n">
        <x:v>8.4</x:v>
      </x:c>
      <x:c r="M32" s="26" t="str">
        <x:v>Business serves domestic and international markets.</x:v>
      </x:c>
      <x:c r="N32" s="26" t="str">
        <x:v>Not Applied</x:v>
      </x:c>
      <x:c r="O32" s="26" t="str"/>
      <x:c r="P32" s="26" t="str"/>
      <x:c r="Q32" s="26" t="str">
        <x:v>Not Started</x:v>
      </x:c>
      <x:c r="R32" s="26" t="str"/>
    </x:row>
    <x:row r="33" ht="38" customHeight="1">
      <x:c r="A33" s="26" t="str">
        <x:v>First Citizens India</x:v>
      </x:c>
      <x:c r="B33" s="26" t="str">
        <x:v>Apprentice – Enterprise Operations</x:v>
      </x:c>
      <x:c r="C33" s="26" t="str">
        <x:v>Bengaluru</x:v>
      </x:c>
      <x:c r="D33" s="26" t="str">
        <x:v>Fresher</x:v>
      </x:c>
      <x:c r="E33" s="26" t="str">
        <x:v>Not disclosed</x:v>
      </x:c>
      <x:c r="F33" s="26" t="str">
        <x:v>Graduate</x:v>
      </x:c>
      <x:c r="G33" s="26" t="str">
        <x:v>Banking operations; KYC; payments; onboarding; fraud operations</x:v>
      </x:c>
      <x:c r="H33" s="26" t="str">
        <x:v>https://svb.wd5.myworkdayjobs.com/en-US/firstcitizensindia/job/Apprentice---Enterprise-Operations_24763</x:v>
      </x:c>
      <x:c r="I33" s="26" t="str">
        <x:v>https://www.firstcitizens.com/careers</x:v>
      </x:c>
      <x:c r="J33" s="26" t="str">
        <x:v>Not publicly listed</x:v>
      </x:c>
      <x:c r="K33" s="26" t="str">
        <x:v>Verify live requisition</x:v>
      </x:c>
      <x:c r="L33" s="36" t="n">
        <x:v>9.7</x:v>
      </x:c>
      <x:c r="M33" s="26" t="str">
        <x:v>Banking/GCC apprenticeship from latest scan.</x:v>
      </x:c>
      <x:c r="N33" s="26" t="str">
        <x:v>Not Applied</x:v>
      </x:c>
      <x:c r="O33" s="26" t="str"/>
      <x:c r="P33" s="26" t="str"/>
      <x:c r="Q33" s="26" t="str">
        <x:v>Not Started</x:v>
      </x:c>
      <x:c r="R33" s="26" t="str"/>
    </x:row>
    <x:row r="34" ht="38" customHeight="1">
      <x:c r="A34" s="26" t="str">
        <x:v>Siemens</x:v>
      </x:c>
      <x:c r="B34" s="26" t="str">
        <x:v>Trainee</x:v>
      </x:c>
      <x:c r="C34" s="26" t="str">
        <x:v>Bengaluru</x:v>
      </x:c>
      <x:c r="D34" s="26" t="str">
        <x:v>Fresher</x:v>
      </x:c>
      <x:c r="E34" s="26" t="str">
        <x:v>Not disclosed</x:v>
      </x:c>
      <x:c r="F34" s="26" t="str">
        <x:v>Graduate / BBA eligible depending on function</x:v>
      </x:c>
      <x:c r="G34" s="26" t="str">
        <x:v>Business operations; reporting; compliance; customer operations</x:v>
      </x:c>
      <x:c r="H34" s="26" t="str">
        <x:v>https://jobs.siemens.com/</x:v>
      </x:c>
      <x:c r="I34" s="26" t="str">
        <x:v>https://jobs.siemens.com/</x:v>
      </x:c>
      <x:c r="J34" s="26" t="str">
        <x:v>Not publicly listed</x:v>
      </x:c>
      <x:c r="K34" s="26" t="str">
        <x:v>Rolling</x:v>
      </x:c>
      <x:c r="L34" s="36" t="n">
        <x:v>9.3</x:v>
      </x:c>
      <x:c r="M34" s="26" t="str">
        <x:v>Strong multinational trainee pathway.</x:v>
      </x:c>
      <x:c r="N34" s="26" t="str">
        <x:v>Not Applied</x:v>
      </x:c>
      <x:c r="O34" s="26" t="str"/>
      <x:c r="P34" s="26" t="str"/>
      <x:c r="Q34" s="26" t="str">
        <x:v>Not Started</x:v>
      </x:c>
      <x:c r="R34" s="26" t="str"/>
    </x:row>
    <x:row r="35" ht="38" customHeight="1">
      <x:c r="A35" s="26" t="str">
        <x:v>Volvo Group</x:v>
      </x:c>
      <x:c r="B35" s="26" t="str">
        <x:v>Graduate Apprentice Trainee</x:v>
      </x:c>
      <x:c r="C35" s="26" t="str">
        <x:v>Bengaluru</x:v>
      </x:c>
      <x:c r="D35" s="26" t="str">
        <x:v>Fresher</x:v>
      </x:c>
      <x:c r="E35" s="26" t="str">
        <x:v>Not disclosed</x:v>
      </x:c>
      <x:c r="F35" s="26" t="str">
        <x:v>Graduate</x:v>
      </x:c>
      <x:c r="G35" s="26" t="str">
        <x:v>Operations; coordination; reporting</x:v>
      </x:c>
      <x:c r="H35" s="26" t="str">
        <x:v>https://www.volvogroup.com/en/careers.html</x:v>
      </x:c>
      <x:c r="I35" s="26" t="str">
        <x:v>https://www.volvogroup.com/en/careers.html</x:v>
      </x:c>
      <x:c r="J35" s="26" t="str">
        <x:v>Not publicly listed</x:v>
      </x:c>
      <x:c r="K35" s="26" t="str">
        <x:v>Rolling</x:v>
      </x:c>
      <x:c r="L35" s="36" t="n">
        <x:v>9.4</x:v>
      </x:c>
      <x:c r="M35" s="26" t="str">
        <x:v>Strong multinational graduate training.</x:v>
      </x:c>
      <x:c r="N35" s="26" t="str">
        <x:v>Not Applied</x:v>
      </x:c>
      <x:c r="O35" s="26" t="str"/>
      <x:c r="P35" s="26" t="str"/>
      <x:c r="Q35" s="26" t="str">
        <x:v>Not Started</x:v>
      </x:c>
      <x:c r="R35" s="26" t="str"/>
    </x:row>
    <x:row r="36" ht="38" customHeight="1">
      <x:c r="A36" s="26" t="str">
        <x:v>ANZ</x:v>
      </x:c>
      <x:c r="B36" s="26" t="str">
        <x:v>Apprentice – Operations</x:v>
      </x:c>
      <x:c r="C36" s="26" t="str">
        <x:v>Bengaluru</x:v>
      </x:c>
      <x:c r="D36" s="26" t="str">
        <x:v>Fresher</x:v>
      </x:c>
      <x:c r="E36" s="26" t="str">
        <x:v>Not disclosed</x:v>
      </x:c>
      <x:c r="F36" s="26" t="str">
        <x:v>BBA/BBM/B.Com/graduate</x:v>
      </x:c>
      <x:c r="G36" s="26" t="str">
        <x:v>Operations; analysis; communication</x:v>
      </x:c>
      <x:c r="H36" s="26" t="str">
        <x:v>https://www.anz.com/careers</x:v>
      </x:c>
      <x:c r="I36" s="26" t="str">
        <x:v>https://www.anz.com/careers</x:v>
      </x:c>
      <x:c r="J36" s="26" t="str">
        <x:v>Not publicly listed</x:v>
      </x:c>
      <x:c r="K36" s="26" t="str">
        <x:v>Rolling</x:v>
      </x:c>
      <x:c r="L36" s="36" t="n">
        <x:v>9.6</x:v>
      </x:c>
      <x:c r="M36" s="26" t="str">
        <x:v>BBA/BBM/B.Com explicitly referenced.</x:v>
      </x:c>
      <x:c r="N36" s="26" t="str">
        <x:v>Not Applied</x:v>
      </x:c>
      <x:c r="O36" s="26" t="str"/>
      <x:c r="P36" s="26" t="str"/>
      <x:c r="Q36" s="26" t="str">
        <x:v>Not Started</x:v>
      </x:c>
      <x:c r="R36" s="26" t="str"/>
    </x:row>
    <x:row r="37" ht="38" customHeight="1">
      <x:c r="A37" s="26" t="str">
        <x:v>Givaudan</x:v>
      </x:c>
      <x:c r="B37" s="26" t="str">
        <x:v>Operations Management Trainee</x:v>
      </x:c>
      <x:c r="C37" s="26" t="str">
        <x:v>Bengaluru</x:v>
      </x:c>
      <x:c r="D37" s="26" t="str">
        <x:v>Entry</x:v>
      </x:c>
      <x:c r="E37" s="26" t="str">
        <x:v>₹2.4–6.8 LPA est.</x:v>
      </x:c>
      <x:c r="F37" s="26" t="str">
        <x:v>Graduate</x:v>
      </x:c>
      <x:c r="G37" s="26" t="str">
        <x:v>Supply chain; operations; process improvement</x:v>
      </x:c>
      <x:c r="H37" s="26" t="str">
        <x:v>https://jobs.givaudan.com/</x:v>
      </x:c>
      <x:c r="I37" s="26" t="str">
        <x:v>https://jobs.givaudan.com/</x:v>
      </x:c>
      <x:c r="J37" s="26" t="str">
        <x:v>Not publicly listed</x:v>
      </x:c>
      <x:c r="K37" s="26" t="str">
        <x:v>Rolling</x:v>
      </x:c>
      <x:c r="L37" s="36" t="n">
        <x:v>9.1</x:v>
      </x:c>
      <x:c r="M37" s="26" t="str">
        <x:v>Strong supply-chain exposure.</x:v>
      </x:c>
      <x:c r="N37" s="26" t="str">
        <x:v>Not Applied</x:v>
      </x:c>
      <x:c r="O37" s="26" t="str"/>
      <x:c r="P37" s="26" t="str"/>
      <x:c r="Q37" s="26" t="str">
        <x:v>Not Started</x:v>
      </x:c>
      <x:c r="R37" s="26" t="str"/>
    </x:row>
    <x:row r="38" ht="38" customHeight="1">
      <x:c r="A38" s="26" t="str">
        <x:v>Genpact</x:v>
      </x:c>
      <x:c r="B38" s="26" t="str">
        <x:v>Management Trainee – Sales Operations</x:v>
      </x:c>
      <x:c r="C38" s="26" t="str">
        <x:v>Bengaluru</x:v>
      </x:c>
      <x:c r="D38" s="26" t="str">
        <x:v>Entry</x:v>
      </x:c>
      <x:c r="E38" s="26" t="str">
        <x:v>₹3.6–6.6 LPA est.</x:v>
      </x:c>
      <x:c r="F38" s="26" t="str">
        <x:v>Graduate</x:v>
      </x:c>
      <x:c r="G38" s="26" t="str">
        <x:v>Sales operations; forecasting; Excel; reporting</x:v>
      </x:c>
      <x:c r="H38" s="26" t="str">
        <x:v>https://www.genpact.com/careers</x:v>
      </x:c>
      <x:c r="I38" s="26" t="str">
        <x:v>https://www.genpact.com/careers</x:v>
      </x:c>
      <x:c r="J38" s="26" t="str">
        <x:v>Not publicly listed</x:v>
      </x:c>
      <x:c r="K38" s="26" t="str">
        <x:v>Rolling</x:v>
      </x:c>
      <x:c r="L38" s="36" t="n">
        <x:v>9</x:v>
      </x:c>
      <x:c r="M38" s="26" t="str">
        <x:v>Strong corporate operations route.</x:v>
      </x:c>
      <x:c r="N38" s="26" t="str">
        <x:v>Not Applied</x:v>
      </x:c>
      <x:c r="O38" s="26" t="str"/>
      <x:c r="P38" s="26" t="str"/>
      <x:c r="Q38" s="26" t="str">
        <x:v>Not Started</x:v>
      </x:c>
      <x:c r="R38" s="26" t="str"/>
    </x:row>
    <x:row r="39" ht="38" customHeight="1">
      <x:c r="A39" s="26" t="str">
        <x:v>Konecranes</x:v>
      </x:c>
      <x:c r="B39" s="26" t="str">
        <x:v>Trainee – Project Management</x:v>
      </x:c>
      <x:c r="C39" s="26" t="str">
        <x:v>Bengaluru</x:v>
      </x:c>
      <x:c r="D39" s="26" t="str">
        <x:v>Entry</x:v>
      </x:c>
      <x:c r="E39" s="26" t="str">
        <x:v>₹3.5–4.0 LPA est.</x:v>
      </x:c>
      <x:c r="F39" s="26" t="str">
        <x:v>Graduate</x:v>
      </x:c>
      <x:c r="G39" s="26" t="str">
        <x:v>Project coordination; planning</x:v>
      </x:c>
      <x:c r="H39" s="26" t="str">
        <x:v>https://www.konecranes.com/careers</x:v>
      </x:c>
      <x:c r="I39" s="26" t="str">
        <x:v>https://www.konecranes.com/careers</x:v>
      </x:c>
      <x:c r="J39" s="26" t="str">
        <x:v>Not publicly listed</x:v>
      </x:c>
      <x:c r="K39" s="26" t="str">
        <x:v>Rolling</x:v>
      </x:c>
      <x:c r="L39" s="36" t="n">
        <x:v>8.8</x:v>
      </x:c>
      <x:c r="M39" s="26" t="str">
        <x:v>Good project-management foundation.</x:v>
      </x:c>
      <x:c r="N39" s="26" t="str">
        <x:v>Not Applied</x:v>
      </x:c>
      <x:c r="O39" s="26" t="str"/>
      <x:c r="P39" s="26" t="str"/>
      <x:c r="Q39" s="26" t="str">
        <x:v>Not Started</x:v>
      </x:c>
      <x:c r="R39" s="26" t="str"/>
    </x:row>
    <x:row r="40" ht="38" customHeight="1">
      <x:c r="A40" s="26" t="str">
        <x:v>Qoruz</x:v>
      </x:c>
      <x:c r="B40" s="26" t="str">
        <x:v>Management Trainee – Client Servicing</x:v>
      </x:c>
      <x:c r="C40" s="26" t="str">
        <x:v>Bengaluru</x:v>
      </x:c>
      <x:c r="D40" s="26" t="str">
        <x:v>Entry</x:v>
      </x:c>
      <x:c r="E40" s="26" t="str">
        <x:v>Not disclosed</x:v>
      </x:c>
      <x:c r="F40" s="26" t="str">
        <x:v>Graduate</x:v>
      </x:c>
      <x:c r="G40" s="26" t="str">
        <x:v>Client management; communication</x:v>
      </x:c>
      <x:c r="H40" s="26" t="str">
        <x:v>https://qoruz.com/careers</x:v>
      </x:c>
      <x:c r="I40" s="26" t="str">
        <x:v>https://qoruz.com/careers</x:v>
      </x:c>
      <x:c r="J40" s="26" t="str">
        <x:v>Not publicly listed</x:v>
      </x:c>
      <x:c r="K40" s="26" t="str">
        <x:v>Rolling</x:v>
      </x:c>
      <x:c r="L40" s="36" t="n">
        <x:v>8.1</x:v>
      </x:c>
      <x:c r="M40" s="26" t="str">
        <x:v>Account-management path.</x:v>
      </x:c>
      <x:c r="N40" s="26" t="str">
        <x:v>Not Applied</x:v>
      </x:c>
      <x:c r="O40" s="26" t="str"/>
      <x:c r="P40" s="26" t="str"/>
      <x:c r="Q40" s="26" t="str">
        <x:v>Not Started</x:v>
      </x:c>
      <x:c r="R40" s="26" t="str"/>
    </x:row>
    <x:row r="41" ht="38" customHeight="1">
      <x:c r="A41" s="26" t="str">
        <x:v>Sales Co Asia</x:v>
      </x:c>
      <x:c r="B41" s="26" t="str">
        <x:v>Management Trainee Program</x:v>
      </x:c>
      <x:c r="C41" s="26" t="str">
        <x:v>Bengaluru</x:v>
      </x:c>
      <x:c r="D41" s="26" t="str">
        <x:v>Fresher</x:v>
      </x:c>
      <x:c r="E41" s="26" t="str">
        <x:v>Not disclosed</x:v>
      </x:c>
      <x:c r="F41" s="26" t="str">
        <x:v>Graduate</x:v>
      </x:c>
      <x:c r="G41" s="26" t="str">
        <x:v>Sales; leadership; communication</x:v>
      </x:c>
      <x:c r="H41" s="26" t="str">
        <x:v>https://www.linkedin.com/company/salescoasia/</x:v>
      </x:c>
      <x:c r="I41" s="26" t="str">
        <x:v>https://www.linkedin.com/company/salescoasia/</x:v>
      </x:c>
      <x:c r="J41" s="26" t="str">
        <x:v>Not publicly listed</x:v>
      </x:c>
      <x:c r="K41" s="26" t="str">
        <x:v>Rolling</x:v>
      </x:c>
      <x:c r="L41" s="36" t="n">
        <x:v>8</x:v>
      </x:c>
      <x:c r="M41" s="26" t="str">
        <x:v>Commercial/leadership experience.</x:v>
      </x:c>
      <x:c r="N41" s="26" t="str">
        <x:v>Not Applied</x:v>
      </x:c>
      <x:c r="O41" s="26" t="str"/>
      <x:c r="P41" s="26" t="str"/>
      <x:c r="Q41" s="26" t="str">
        <x:v>Not Started</x:v>
      </x:c>
      <x:c r="R41" s="26" t="str"/>
    </x:row>
    <x:row r="42" ht="38" customHeight="1">
      <x:c r="A42" s="26" t="str">
        <x:v>GreedyGame</x:v>
      </x:c>
      <x:c r="B42" s="26" t="str">
        <x:v>Business Management Trainee</x:v>
      </x:c>
      <x:c r="C42" s="26" t="str">
        <x:v>Bengaluru</x:v>
      </x:c>
      <x:c r="D42" s="26" t="str">
        <x:v>Entry</x:v>
      </x:c>
      <x:c r="E42" s="26" t="str">
        <x:v>Not disclosed</x:v>
      </x:c>
      <x:c r="F42" s="26" t="str">
        <x:v>Graduate</x:v>
      </x:c>
      <x:c r="G42" s="26" t="str">
        <x:v>Analytics; client operations; business management</x:v>
      </x:c>
      <x:c r="H42" s="26" t="str">
        <x:v>https://greedygame.com/careers</x:v>
      </x:c>
      <x:c r="I42" s="26" t="str">
        <x:v>https://greedygame.com/careers</x:v>
      </x:c>
      <x:c r="J42" s="26" t="str">
        <x:v>Not publicly listed</x:v>
      </x:c>
      <x:c r="K42" s="26" t="str">
        <x:v>Rolling</x:v>
      </x:c>
      <x:c r="L42" s="36" t="n">
        <x:v>8.6</x:v>
      </x:c>
      <x:c r="M42" s="26" t="str">
        <x:v>Good blend of business and technology.</x:v>
      </x:c>
      <x:c r="N42" s="26" t="str">
        <x:v>Not Applied</x:v>
      </x:c>
      <x:c r="O42" s="26" t="str"/>
      <x:c r="P42" s="26" t="str"/>
      <x:c r="Q42" s="26" t="str">
        <x:v>Not Started</x:v>
      </x:c>
      <x:c r="R42" s="26" t="str"/>
    </x:row>
    <x:row r="43" ht="38" customHeight="1">
      <x:c r="A43" s="26" t="str">
        <x:v>Chain Reaction Co.</x:v>
      </x:c>
      <x:c r="B43" s="26" t="str">
        <x:v>Graduate Management Trainee</x:v>
      </x:c>
      <x:c r="C43" s="26" t="str">
        <x:v>Bengaluru</x:v>
      </x:c>
      <x:c r="D43" s="26" t="str">
        <x:v>Fresher</x:v>
      </x:c>
      <x:c r="E43" s="26" t="str">
        <x:v>Not disclosed</x:v>
      </x:c>
      <x:c r="F43" s="26" t="str">
        <x:v>Graduate</x:v>
      </x:c>
      <x:c r="G43" s="26" t="str">
        <x:v>Marketing; management; communication</x:v>
      </x:c>
      <x:c r="H43" s="26" t="str">
        <x:v>https://careers.chainreaction.ae</x:v>
      </x:c>
      <x:c r="I43" s="26" t="str">
        <x:v>https://careers.chainreaction.ae</x:v>
      </x:c>
      <x:c r="J43" s="26" t="str">
        <x:v>Not publicly listed</x:v>
      </x:c>
      <x:c r="K43" s="26" t="str">
        <x:v>Rolling</x:v>
      </x:c>
      <x:c r="L43" s="36" t="n">
        <x:v>8</x:v>
      </x:c>
      <x:c r="M43" s="26" t="str">
        <x:v>Management/client-facing path.</x:v>
      </x:c>
      <x:c r="N43" s="26" t="str">
        <x:v>Not Applied</x:v>
      </x:c>
      <x:c r="O43" s="26" t="str"/>
      <x:c r="P43" s="26" t="str"/>
      <x:c r="Q43" s="26" t="str">
        <x:v>Not Started</x:v>
      </x:c>
      <x:c r="R43" s="26" t="str"/>
    </x:row>
    <x:row r="44" ht="38" customHeight="1">
      <x:c r="A44" s="26" t="str">
        <x:v>Cisco</x:v>
      </x:c>
      <x:c r="B44" s="26" t="str">
        <x:v>Talent Acquisition Coordinator Trainee – Graduate Apprentice</x:v>
      </x:c>
      <x:c r="C44" s="26" t="str">
        <x:v>Bengaluru</x:v>
      </x:c>
      <x:c r="D44" s="26" t="str">
        <x:v>Fresher</x:v>
      </x:c>
      <x:c r="E44" s="26" t="str">
        <x:v>₹2.07–3.25 LPA est.</x:v>
      </x:c>
      <x:c r="F44" s="26" t="str">
        <x:v>Graduate</x:v>
      </x:c>
      <x:c r="G44" s="26" t="str">
        <x:v>Coordination; communication; HR operations; MS Office</x:v>
      </x:c>
      <x:c r="H44" s="26" t="str">
        <x:v>https://jobs.cisco.com/</x:v>
      </x:c>
      <x:c r="I44" s="26" t="str">
        <x:v>https://jobs.cisco.com/</x:v>
      </x:c>
      <x:c r="J44" s="26" t="str">
        <x:v>Not publicly listed</x:v>
      </x:c>
      <x:c r="K44" s="26" t="str">
        <x:v>Rolling</x:v>
      </x:c>
      <x:c r="L44" s="36" t="n">
        <x:v>8.2</x:v>
      </x:c>
      <x:c r="M44" s="26" t="str">
        <x:v>Strong multinational apprenticeship.</x:v>
      </x:c>
      <x:c r="N44" s="26" t="str">
        <x:v>Not Applied</x:v>
      </x:c>
      <x:c r="O44" s="26" t="str"/>
      <x:c r="P44" s="26" t="str"/>
      <x:c r="Q44" s="26" t="str">
        <x:v>Not Started</x:v>
      </x:c>
      <x:c r="R44" s="26" t="str"/>
    </x:row>
    <x:row r="45" ht="38" customHeight="1">
      <x:c r="A45" s="26" t="str">
        <x:v>Cisco</x:v>
      </x:c>
      <x:c r="B45" s="26" t="str">
        <x:v>Marketing Trainee – Graduate Apprentice</x:v>
      </x:c>
      <x:c r="C45" s="26" t="str">
        <x:v>Bengaluru</x:v>
      </x:c>
      <x:c r="D45" s="26" t="str">
        <x:v>Fresher</x:v>
      </x:c>
      <x:c r="E45" s="26" t="str">
        <x:v>₹4.37–7.80 LPA est.</x:v>
      </x:c>
      <x:c r="F45" s="26" t="str">
        <x:v>Graduate</x:v>
      </x:c>
      <x:c r="G45" s="26" t="str">
        <x:v>Marketing; analytics; communication</x:v>
      </x:c>
      <x:c r="H45" s="26" t="str">
        <x:v>https://jobs.cisco.com/</x:v>
      </x:c>
      <x:c r="I45" s="26" t="str">
        <x:v>https://jobs.cisco.com/</x:v>
      </x:c>
      <x:c r="J45" s="26" t="str">
        <x:v>Not publicly listed</x:v>
      </x:c>
      <x:c r="K45" s="26" t="str">
        <x:v>Rolling</x:v>
      </x:c>
      <x:c r="L45" s="36" t="n">
        <x:v>9</x:v>
      </x:c>
      <x:c r="M45" s="26" t="str">
        <x:v>Excellent brand and marketing exposure.</x:v>
      </x:c>
      <x:c r="N45" s="26" t="str">
        <x:v>Not Applied</x:v>
      </x:c>
      <x:c r="O45" s="26" t="str"/>
      <x:c r="P45" s="26" t="str"/>
      <x:c r="Q45" s="26" t="str">
        <x:v>Not Started</x:v>
      </x:c>
      <x:c r="R45" s="26" t="str"/>
    </x:row>
    <x:row r="46" ht="38" customHeight="1">
      <x:c r="A46" s="26" t="str">
        <x:v>AtkinsRéalis</x:v>
      </x:c>
      <x:c r="B46" s="26" t="str">
        <x:v>Trainee</x:v>
      </x:c>
      <x:c r="C46" s="26" t="str">
        <x:v>Bengaluru</x:v>
      </x:c>
      <x:c r="D46" s="26" t="str">
        <x:v>Fresher</x:v>
      </x:c>
      <x:c r="E46" s="26" t="str">
        <x:v>Not disclosed</x:v>
      </x:c>
      <x:c r="F46" s="26" t="str">
        <x:v>Graduate; 70% academic requirement in prior listing</x:v>
      </x:c>
      <x:c r="G46" s="26" t="str">
        <x:v>Documentation; project support</x:v>
      </x:c>
      <x:c r="H46" s="26" t="str">
        <x:v>https://careers.atkinsrealis.com</x:v>
      </x:c>
      <x:c r="I46" s="26" t="str">
        <x:v>https://careers.atkinsrealis.com</x:v>
      </x:c>
      <x:c r="J46" s="26" t="str">
        <x:v>Not publicly listed</x:v>
      </x:c>
      <x:c r="K46" s="26" t="str">
        <x:v>Rolling</x:v>
      </x:c>
      <x:c r="L46" s="36" t="n">
        <x:v>8.2</x:v>
      </x:c>
      <x:c r="M46" s="26" t="str">
        <x:v>Good project-coordination experience.</x:v>
      </x:c>
      <x:c r="N46" s="26" t="str">
        <x:v>Not Applied</x:v>
      </x:c>
      <x:c r="O46" s="26" t="str"/>
      <x:c r="P46" s="26" t="str"/>
      <x:c r="Q46" s="26" t="str">
        <x:v>Not Started</x:v>
      </x:c>
      <x:c r="R46" s="26" t="str"/>
    </x:row>
    <x:row r="47" ht="38" customHeight="1">
      <x:c r="A47" s="26" t="str">
        <x:v>KredX</x:v>
      </x:c>
      <x:c r="B47" s="26" t="str">
        <x:v>Corporate Sales Trainee</x:v>
      </x:c>
      <x:c r="C47" s="26" t="str">
        <x:v>Bengaluru</x:v>
      </x:c>
      <x:c r="D47" s="26" t="str">
        <x:v>Fresher</x:v>
      </x:c>
      <x:c r="E47" s="26" t="str">
        <x:v>Not disclosed</x:v>
      </x:c>
      <x:c r="F47" s="26" t="str">
        <x:v>Any graduate/postgraduate</x:v>
      </x:c>
      <x:c r="G47" s="26" t="str">
        <x:v>B2B sales; trade finance; communication</x:v>
      </x:c>
      <x:c r="H47" s="26" t="str">
        <x:v>https://to.indeed.com/aapr6nnhmrdr</x:v>
      </x:c>
      <x:c r="I47" s="26" t="str">
        <x:v>https://www.kredx.com/join-our-team</x:v>
      </x:c>
      <x:c r="J47" s="26" t="str">
        <x:v>info@kredx.com | +91-8061799200 | 1800 419 4919</x:v>
      </x:c>
      <x:c r="K47" s="26" t="str">
        <x:v>Rolling</x:v>
      </x:c>
      <x:c r="L47" s="36" t="n">
        <x:v>9.8</x:v>
      </x:c>
      <x:c r="M47" s="26" t="str">
        <x:v>Cross-border trade finance relevance.</x:v>
      </x:c>
      <x:c r="N47" s="26" t="str">
        <x:v>Not Applied</x:v>
      </x:c>
      <x:c r="O47" s="26" t="str"/>
      <x:c r="P47" s="26" t="str"/>
      <x:c r="Q47" s="26" t="str">
        <x:v>Not Started</x:v>
      </x:c>
      <x:c r="R47" s="26" t="str"/>
    </x:row>
    <x:row r="48" ht="38" customHeight="1">
      <x:c r="A48" s="26" t="str">
        <x:v>Porter</x:v>
      </x:c>
      <x:c r="B48" s="26" t="str">
        <x:v>Trainee Business Associate</x:v>
      </x:c>
      <x:c r="C48" s="26" t="str">
        <x:v>Bengaluru</x:v>
      </x:c>
      <x:c r="D48" s="26" t="str">
        <x:v>Fresher</x:v>
      </x:c>
      <x:c r="E48" s="26" t="str">
        <x:v>₹20,000–25,000/month (reported in prior scan)</x:v>
      </x:c>
      <x:c r="F48" s="26" t="str">
        <x:v>Graduate</x:v>
      </x:c>
      <x:c r="G48" s="26" t="str">
        <x:v>Market research; business development; logistics</x:v>
      </x:c>
      <x:c r="H48" s="26" t="str">
        <x:v>https://www.porter.in/careers</x:v>
      </x:c>
      <x:c r="I48" s="26" t="str">
        <x:v>https://www.porter.in/careers</x:v>
      </x:c>
      <x:c r="J48" s="26" t="str">
        <x:v>Not publicly listed</x:v>
      </x:c>
      <x:c r="K48" s="26" t="str">
        <x:v>Rolling</x:v>
      </x:c>
      <x:c r="L48" s="36" t="n">
        <x:v>8.9</x:v>
      </x:c>
      <x:c r="M48" s="26" t="str">
        <x:v>Strong logistics + business development exposure.</x:v>
      </x:c>
      <x:c r="N48" s="26" t="str">
        <x:v>Not Applied</x:v>
      </x:c>
      <x:c r="O48" s="26" t="str"/>
      <x:c r="P48" s="26" t="str"/>
      <x:c r="Q48" s="26" t="str">
        <x:v>Not Started</x:v>
      </x:c>
      <x:c r="R48" s="26" t="str"/>
    </x:row>
    <x:row r="49" ht="38" customHeight="1">
      <x:c r="A49" s="26" t="str">
        <x:v>4PL Consultancy</x:v>
      </x:c>
      <x:c r="B49" s="26" t="str">
        <x:v>Global Trade Compliance Trainee</x:v>
      </x:c>
      <x:c r="C49" s="26" t="str">
        <x:v>Whitefield, Bengaluru</x:v>
      </x:c>
      <x:c r="D49" s="26" t="str">
        <x:v>Fresher</x:v>
      </x:c>
      <x:c r="E49" s="26" t="str">
        <x:v>₹2.5–3 LPA</x:v>
      </x:c>
      <x:c r="F49" s="26" t="str">
        <x:v>Graduate</x:v>
      </x:c>
      <x:c r="G49" s="26" t="str">
        <x:v>Export-import; logistics; compliance</x:v>
      </x:c>
      <x:c r="H49" s="26" t="str">
        <x:v>https://in.indeed.com/</x:v>
      </x:c>
      <x:c r="I49" s="26" t="str">
        <x:v>Not publicly listed</x:v>
      </x:c>
      <x:c r="J49" s="26" t="str">
        <x:v>Not publicly listed</x:v>
      </x:c>
      <x:c r="K49" s="26" t="str">
        <x:v>Rolling</x:v>
      </x:c>
      <x:c r="L49" s="36" t="n">
        <x:v>9.6</x:v>
      </x:c>
      <x:c r="M49" s="26" t="str">
        <x:v>Direct International Business/trade fit.</x:v>
      </x:c>
      <x:c r="N49" s="26" t="str">
        <x:v>Not Applied</x:v>
      </x:c>
      <x:c r="O49" s="26" t="str"/>
      <x:c r="P49" s="26" t="str"/>
      <x:c r="Q49" s="26" t="str">
        <x:v>Not Started</x:v>
      </x:c>
      <x:c r="R49" s="26" t="str"/>
    </x:row>
    <x:row r="50" ht="38" customHeight="1">
      <x:c r="A50" s="26" t="str">
        <x:v>Cresc Datasoft</x:v>
      </x:c>
      <x:c r="B50" s="26" t="str">
        <x:v>Analyst – Supply Chain Management</x:v>
      </x:c>
      <x:c r="C50" s="26" t="str">
        <x:v>Bengaluru</x:v>
      </x:c>
      <x:c r="D50" s="26" t="str">
        <x:v>Entry</x:v>
      </x:c>
      <x:c r="E50" s="26" t="str">
        <x:v>Not disclosed</x:v>
      </x:c>
      <x:c r="F50" s="26" t="str">
        <x:v>Graduate</x:v>
      </x:c>
      <x:c r="G50" s="26" t="str">
        <x:v>Supply chain; Excel; customer operations</x:v>
      </x:c>
      <x:c r="H50" s="26" t="str">
        <x:v>https://in.indeed.com/</x:v>
      </x:c>
      <x:c r="I50" s="26" t="str">
        <x:v>Not publicly listed</x:v>
      </x:c>
      <x:c r="J50" s="26" t="str">
        <x:v>Not publicly listed</x:v>
      </x:c>
      <x:c r="K50" s="26" t="str">
        <x:v>Rolling</x:v>
      </x:c>
      <x:c r="L50" s="36" t="n">
        <x:v>8.9</x:v>
      </x:c>
      <x:c r="M50" s="26" t="str">
        <x:v>Strong supply-chain entry.</x:v>
      </x:c>
      <x:c r="N50" s="26" t="str">
        <x:v>Not Applied</x:v>
      </x:c>
      <x:c r="O50" s="26" t="str"/>
      <x:c r="P50" s="26" t="str"/>
      <x:c r="Q50" s="26" t="str">
        <x:v>Not Started</x:v>
      </x:c>
      <x:c r="R50" s="26" t="str"/>
    </x:row>
    <x:row r="51" ht="38" customHeight="1">
      <x:c r="A51" s="26" t="str">
        <x:v>Switchgear and Control Technics</x:v>
      </x:c>
      <x:c r="B51" s="26" t="str">
        <x:v>Trainee Purchase</x:v>
      </x:c>
      <x:c r="C51" s="26" t="str">
        <x:v>Bommasandra, Bengaluru</x:v>
      </x:c>
      <x:c r="D51" s="26" t="str">
        <x:v>Fresher</x:v>
      </x:c>
      <x:c r="E51" s="26" t="str">
        <x:v>Not disclosed</x:v>
      </x:c>
      <x:c r="F51" s="26" t="str">
        <x:v>Graduate</x:v>
      </x:c>
      <x:c r="G51" s="26" t="str">
        <x:v>Procurement; inventory; vendor management</x:v>
      </x:c>
      <x:c r="H51" s="26" t="str">
        <x:v>https://in.indeed.com/</x:v>
      </x:c>
      <x:c r="I51" s="26" t="str">
        <x:v>Not publicly listed</x:v>
      </x:c>
      <x:c r="J51" s="26" t="str">
        <x:v>Not publicly listed</x:v>
      </x:c>
      <x:c r="K51" s="26" t="str">
        <x:v>Rolling</x:v>
      </x:c>
      <x:c r="L51" s="36" t="n">
        <x:v>8.8</x:v>
      </x:c>
      <x:c r="M51" s="26" t="str">
        <x:v>Good procurement entry point.</x:v>
      </x:c>
      <x:c r="N51" s="26" t="str">
        <x:v>Not Applied</x:v>
      </x:c>
      <x:c r="O51" s="26" t="str"/>
      <x:c r="P51" s="26" t="str"/>
      <x:c r="Q51" s="26" t="str">
        <x:v>Not Started</x:v>
      </x:c>
      <x:c r="R51" s="26" t="str"/>
    </x:row>
    <x:row r="52" ht="38" customHeight="1">
      <x:c r="A52" s="26" t="str">
        <x:v>Thermite Educare</x:v>
      </x:c>
      <x:c r="B52" s="26" t="str">
        <x:v>Business Development Associate</x:v>
      </x:c>
      <x:c r="C52" s="26" t="str">
        <x:v>Bangalore City</x:v>
      </x:c>
      <x:c r="D52" s="26" t="str">
        <x:v>Fresher–2 years</x:v>
      </x:c>
      <x:c r="E52" s="26" t="str">
        <x:v>₹15,000–25,000/month + incentives</x:v>
      </x:c>
      <x:c r="F52" s="26" t="str">
        <x:v>Graduate</x:v>
      </x:c>
      <x:c r="G52" s="26" t="str">
        <x:v>Sales; negotiation; CRM; lead generation</x:v>
      </x:c>
      <x:c r="H52" s="26" t="str">
        <x:v>https://to.indeed.com/aajfrbwy2dhv</x:v>
      </x:c>
      <x:c r="I52" s="26" t="str">
        <x:v>Not publicly listed</x:v>
      </x:c>
      <x:c r="J52" s="26" t="str">
        <x:v>Not publicly listed</x:v>
      </x:c>
      <x:c r="K52" s="26" t="str">
        <x:v>Rolling</x:v>
      </x:c>
      <x:c r="L52" s="36" t="n">
        <x:v>8</x:v>
      </x:c>
      <x:c r="M52" s="26" t="str">
        <x:v>Good sales foundation.</x:v>
      </x:c>
      <x:c r="N52" s="26" t="str">
        <x:v>Not Applied</x:v>
      </x:c>
      <x:c r="O52" s="26" t="str"/>
      <x:c r="P52" s="26" t="str"/>
      <x:c r="Q52" s="26" t="str">
        <x:v>Not Started</x:v>
      </x:c>
      <x:c r="R52" s="26" t="str"/>
    </x:row>
    <x:row r="53" ht="38" customHeight="1">
      <x:c r="A53" s="26" t="str">
        <x:v>Value Home Properties</x:v>
      </x:c>
      <x:c r="B53" s="26" t="str">
        <x:v>Trainee Business Development</x:v>
      </x:c>
      <x:c r="C53" s="26" t="str">
        <x:v>Bengaluru</x:v>
      </x:c>
      <x:c r="D53" s="26" t="str">
        <x:v>Fresher</x:v>
      </x:c>
      <x:c r="E53" s="26" t="str">
        <x:v>Not disclosed</x:v>
      </x:c>
      <x:c r="F53" s="26" t="str">
        <x:v>BBA/MBA/any degree</x:v>
      </x:c>
      <x:c r="G53" s="26" t="str">
        <x:v>Business relationships; market analysis; commercial opportunities</x:v>
      </x:c>
      <x:c r="H53" s="26" t="str">
        <x:v>https://in.indeed.com/</x:v>
      </x:c>
      <x:c r="I53" s="26" t="str">
        <x:v>Not publicly listed</x:v>
      </x:c>
      <x:c r="J53" s="26" t="str">
        <x:v>Not publicly listed</x:v>
      </x:c>
      <x:c r="K53" s="26" t="str">
        <x:v>Rolling</x:v>
      </x:c>
      <x:c r="L53" s="36" t="n">
        <x:v>8.4</x:v>
      </x:c>
      <x:c r="M53" s="26" t="str">
        <x:v>Good commercial-development foundation.</x:v>
      </x:c>
      <x:c r="N53" s="26" t="str">
        <x:v>Not Applied</x:v>
      </x:c>
      <x:c r="O53" s="26" t="str"/>
      <x:c r="P53" s="26" t="str"/>
      <x:c r="Q53" s="26" t="str">
        <x:v>Not Started</x:v>
      </x:c>
      <x:c r="R53" s="26" t="str"/>
    </x:row>
    <x:row r="54" ht="38" customHeight="1">
      <x:c r="A54" s="26" t="str">
        <x:v>Astromeda Space</x:v>
      </x:c>
      <x:c r="B54" s="26" t="str">
        <x:v>Founder's Office Executive</x:v>
      </x:c>
      <x:c r="C54" s="26" t="str">
        <x:v>Bengaluru</x:v>
      </x:c>
      <x:c r="D54" s="26" t="str">
        <x:v>0–1 year / fresher</x:v>
      </x:c>
      <x:c r="E54" s="26" t="str">
        <x:v>Not disclosed</x:v>
      </x:c>
      <x:c r="F54" s="26" t="str">
        <x:v>BBA/MBA</x:v>
      </x:c>
      <x:c r="G54" s="26" t="str">
        <x:v>Investor relations; cross-functional business operations</x:v>
      </x:c>
      <x:c r="H54" s="26" t="str">
        <x:v>https://in.indeed.com/</x:v>
      </x:c>
      <x:c r="I54" s="26" t="str">
        <x:v>Not publicly listed</x:v>
      </x:c>
      <x:c r="J54" s="26" t="str">
        <x:v>Not publicly listed</x:v>
      </x:c>
      <x:c r="K54" s="26" t="str">
        <x:v>Rolling</x:v>
      </x:c>
      <x:c r="L54" s="36" t="n">
        <x:v>8.7</x:v>
      </x:c>
      <x:c r="M54" s="26" t="str">
        <x:v>Potentially strong strategy/general-management exposure.</x:v>
      </x:c>
      <x:c r="N54" s="26" t="str">
        <x:v>Not Applied</x:v>
      </x:c>
      <x:c r="O54" s="26" t="str"/>
      <x:c r="P54" s="26" t="str"/>
      <x:c r="Q54" s="26" t="str">
        <x:v>Not Started</x:v>
      </x:c>
      <x:c r="R54" s="26" t="str"/>
    </x:row>
    <x:row r="55" ht="38" customHeight="1">
      <x:c r="A55" s="26" t="str">
        <x:v>Lake Chemicals</x:v>
      </x:c>
      <x:c r="B55" s="26" t="str">
        <x:v>Logistics Coordinator</x:v>
      </x:c>
      <x:c r="C55" s="26" t="str">
        <x:v>Bengaluru</x:v>
      </x:c>
      <x:c r="D55" s="26" t="str">
        <x:v>Fresher-friendly</x:v>
      </x:c>
      <x:c r="E55" s="26" t="str">
        <x:v>₹16,500–17,900/month</x:v>
      </x:c>
      <x:c r="F55" s="26" t="str">
        <x:v>Graduate</x:v>
      </x:c>
      <x:c r="G55" s="26" t="str">
        <x:v>Logistics coordination; computer skills</x:v>
      </x:c>
      <x:c r="H55" s="26" t="str">
        <x:v>https://in.indeed.com/</x:v>
      </x:c>
      <x:c r="I55" s="26" t="str">
        <x:v>Not publicly listed</x:v>
      </x:c>
      <x:c r="J55" s="26" t="str">
        <x:v>Not publicly listed</x:v>
      </x:c>
      <x:c r="K55" s="26" t="str">
        <x:v>Rolling</x:v>
      </x:c>
      <x:c r="L55" s="36" t="n">
        <x:v>7.8</x:v>
      </x:c>
      <x:c r="M55" s="26" t="str">
        <x:v>Entry logistics role; modest pay.</x:v>
      </x:c>
      <x:c r="N55" s="26" t="str">
        <x:v>Not Applied</x:v>
      </x:c>
      <x:c r="O55" s="26" t="str"/>
      <x:c r="P55" s="26" t="str"/>
      <x:c r="Q55" s="26" t="str">
        <x:v>Not Started</x:v>
      </x:c>
      <x:c r="R55" s="26" t="str"/>
    </x:row>
    <x:row r="56" ht="38" customHeight="1">
      <x:c r="A56" s="26" t="str">
        <x:v>HCLTech</x:v>
      </x:c>
      <x:c r="B56" s="26" t="str">
        <x:v>Campus-Advanced Beginner / Process Associate</x:v>
      </x:c>
      <x:c r="C56" s="26" t="str">
        <x:v>Bengaluru</x:v>
      </x:c>
      <x:c r="D56" s="26" t="str">
        <x:v>Fresher</x:v>
      </x:c>
      <x:c r="E56" s="26" t="str">
        <x:v>Not disclosed</x:v>
      </x:c>
      <x:c r="F56" s="26" t="str">
        <x:v>Graduate</x:v>
      </x:c>
      <x:c r="G56" s="26" t="str">
        <x:v>Documentation; business support; process operations</x:v>
      </x:c>
      <x:c r="H56" s="26" t="str">
        <x:v>https://www.hcltech.com/careers</x:v>
      </x:c>
      <x:c r="I56" s="26" t="str">
        <x:v>https://www.hcltech.com/careers</x:v>
      </x:c>
      <x:c r="J56" s="26" t="str">
        <x:v>Not publicly listed</x:v>
      </x:c>
      <x:c r="K56" s="26" t="str">
        <x:v>Rolling</x:v>
      </x:c>
      <x:c r="L56" s="36" t="n">
        <x:v>8.6</x:v>
      </x:c>
      <x:c r="M56" s="26" t="str">
        <x:v>Recognized corporate entry path.</x:v>
      </x:c>
      <x:c r="N56" s="26" t="str">
        <x:v>Not Applied</x:v>
      </x:c>
      <x:c r="O56" s="26" t="str"/>
      <x:c r="P56" s="26" t="str"/>
      <x:c r="Q56" s="26" t="str">
        <x:v>Not Started</x:v>
      </x:c>
      <x:c r="R56" s="26" t="str"/>
    </x:row>
    <x:row r="57" ht="38" customHeight="1">
      <x:c r="A57" s="26" t="str">
        <x:v>DrinkPrime</x:v>
      </x:c>
      <x:c r="B57" s="26" t="str">
        <x:v>Fresher Hiring</x:v>
      </x:c>
      <x:c r="C57" s="26" t="str">
        <x:v>Bengaluru</x:v>
      </x:c>
      <x:c r="D57" s="26" t="str">
        <x:v>Fresher</x:v>
      </x:c>
      <x:c r="E57" s="26" t="str">
        <x:v>Not disclosed</x:v>
      </x:c>
      <x:c r="F57" s="26" t="str">
        <x:v>BBA/B.Com/MBA/BCA/BE</x:v>
      </x:c>
      <x:c r="G57" s="26" t="str">
        <x:v>English/Kannada communication; MS Office; Excel; email handling</x:v>
      </x:c>
      <x:c r="H57" s="26" t="str">
        <x:v>https://in.indeed.com/</x:v>
      </x:c>
      <x:c r="I57" s="26" t="str">
        <x:v>https://drinkprime.in/careers</x:v>
      </x:c>
      <x:c r="J57" s="26" t="str">
        <x:v>Not publicly listed</x:v>
      </x:c>
      <x:c r="K57" s="26" t="str">
        <x:v>Rolling</x:v>
      </x:c>
      <x:c r="L57" s="36" t="n">
        <x:v>8.8</x:v>
      </x:c>
      <x:c r="M57" s="26" t="str">
        <x:v>Good accessible corporate fresher role.</x:v>
      </x:c>
      <x:c r="N57" s="26" t="str">
        <x:v>Not Applied</x:v>
      </x:c>
      <x:c r="O57" s="26" t="str"/>
      <x:c r="P57" s="26" t="str"/>
      <x:c r="Q57" s="26" t="str">
        <x:v>Not Started</x:v>
      </x:c>
      <x:c r="R57" s="26" t="str"/>
    </x:row>
    <x:row r="58" ht="38" customHeight="1">
      <x:c r="A58" s="26" t="str">
        <x:v>Markelytics Solutions India</x:v>
      </x:c>
      <x:c r="B58" s="26" t="str">
        <x:v>Trainee – Project Management</x:v>
      </x:c>
      <x:c r="C58" s="26" t="str">
        <x:v>Bengaluru</x:v>
      </x:c>
      <x:c r="D58" s="26" t="str">
        <x:v>Fresher</x:v>
      </x:c>
      <x:c r="E58" s="26" t="str">
        <x:v>₹3.8–6.5 LPA est. in prior scan</x:v>
      </x:c>
      <x:c r="F58" s="26" t="str">
        <x:v>Graduate</x:v>
      </x:c>
      <x:c r="G58" s="26" t="str">
        <x:v>Project coordination; Excel; communication</x:v>
      </x:c>
      <x:c r="H58" s="26" t="str">
        <x:v>https://to.indeed.com/aa9jsxdxdsd4</x:v>
      </x:c>
      <x:c r="I58" s="26" t="str">
        <x:v>https://markelytics.com/careers/</x:v>
      </x:c>
      <x:c r="J58" s="26" t="str">
        <x:v>Not publicly listed</x:v>
      </x:c>
      <x:c r="K58" s="26" t="str">
        <x:v>Rolling</x:v>
      </x:c>
      <x:c r="L58" s="36" t="n">
        <x:v>8.9</x:v>
      </x:c>
      <x:c r="M58" s="26" t="str">
        <x:v>Strong project management foundation.</x:v>
      </x:c>
      <x:c r="N58" s="26" t="str">
        <x:v>Not Applied</x:v>
      </x:c>
      <x:c r="O58" s="26" t="str"/>
      <x:c r="P58" s="26" t="str"/>
      <x:c r="Q58" s="26" t="str">
        <x:v>Not Started</x:v>
      </x:c>
      <x:c r="R58" s="26" t="str"/>
    </x:row>
    <x:row r="59" ht="38" customHeight="1">
      <x:c r="A59" s="26" t="str">
        <x:v>TechKshetra Info Solutions</x:v>
      </x:c>
      <x:c r="B59" s="26" t="str">
        <x:v>Business Development Executive</x:v>
      </x:c>
      <x:c r="C59" s="26" t="str">
        <x:v>Bengaluru</x:v>
      </x:c>
      <x:c r="D59" s="26" t="str">
        <x:v>0–1 year / fresher</x:v>
      </x:c>
      <x:c r="E59" s="26" t="str">
        <x:v>₹3.6 LPA + uncapped incentives</x:v>
      </x:c>
      <x:c r="F59" s="26" t="str">
        <x:v>BBA/graduate</x:v>
      </x:c>
      <x:c r="G59" s="26" t="str">
        <x:v>B2B SaaS; lead generation; CRM; communication</x:v>
      </x:c>
      <x:c r="H59" s="26" t="str">
        <x:v>https://to.indeed.com/aazmd6jh7vnz</x:v>
      </x:c>
      <x:c r="I59" s="26" t="str">
        <x:v>https://techkshetrainfo.com/</x:v>
      </x:c>
      <x:c r="J59" s="26" t="str">
        <x:v>hr@techkshetrainfo.com | 7090178889</x:v>
      </x:c>
      <x:c r="K59" s="26" t="str">
        <x:v>Rolling</x:v>
      </x:c>
      <x:c r="L59" s="36" t="n">
        <x:v>9</x:v>
      </x:c>
      <x:c r="M59" s="26" t="str">
        <x:v>AI/ERP + B2B sales; BBA explicitly accepted.</x:v>
      </x:c>
      <x:c r="N59" s="26" t="str">
        <x:v>Not Applied</x:v>
      </x:c>
      <x:c r="O59" s="26" t="str"/>
      <x:c r="P59" s="26" t="str"/>
      <x:c r="Q59" s="26" t="str">
        <x:v>Not Started</x:v>
      </x:c>
      <x:c r="R59" s="26" t="str"/>
    </x:row>
    <x:row r="60" ht="38" customHeight="1">
      <x:c r="A60" s="26" t="str">
        <x:v>Varistor Group</x:v>
      </x:c>
      <x:c r="B60" s="26" t="str">
        <x:v>Purchase Executive Intern</x:v>
      </x:c>
      <x:c r="C60" s="26" t="str">
        <x:v>Bengaluru</x:v>
      </x:c>
      <x:c r="D60" s="26" t="str">
        <x:v>Fresher</x:v>
      </x:c>
      <x:c r="E60" s="26" t="str">
        <x:v>₹10,000–30,000/month</x:v>
      </x:c>
      <x:c r="F60" s="26" t="str">
        <x:v>Graduate</x:v>
      </x:c>
      <x:c r="G60" s="26" t="str">
        <x:v>Procurement; vendor coordination; Excel</x:v>
      </x:c>
      <x:c r="H60" s="26" t="str">
        <x:v>https://in.indeed.com/</x:v>
      </x:c>
      <x:c r="I60" s="26" t="str">
        <x:v>Not publicly listed</x:v>
      </x:c>
      <x:c r="J60" s="26" t="str">
        <x:v>Not publicly listed</x:v>
      </x:c>
      <x:c r="K60" s="26" t="str">
        <x:v>Rolling</x:v>
      </x:c>
      <x:c r="L60" s="36" t="n">
        <x:v>8.6</x:v>
      </x:c>
      <x:c r="M60" s="26" t="str">
        <x:v>Direct procurement/supply-chain exposure.</x:v>
      </x:c>
      <x:c r="N60" s="26" t="str">
        <x:v>Not Applied</x:v>
      </x:c>
      <x:c r="O60" s="26" t="str"/>
      <x:c r="P60" s="26" t="str"/>
      <x:c r="Q60" s="26" t="str">
        <x:v>Not Started</x:v>
      </x:c>
      <x:c r="R60" s="26" t="str"/>
    </x:row>
    <x:row r="61" ht="38" customHeight="1">
      <x:c r="A61" s="26" t="str">
        <x:v>Vertex Techno Solutions</x:v>
      </x:c>
      <x:c r="B61" s="26" t="str">
        <x:v>Sales Fresher (B2B Sales)</x:v>
      </x:c>
      <x:c r="C61" s="26" t="str">
        <x:v>Bengaluru</x:v>
      </x:c>
      <x:c r="D61" s="26" t="str">
        <x:v>Fresher</x:v>
      </x:c>
      <x:c r="E61" s="26" t="str">
        <x:v>Not disclosed</x:v>
      </x:c>
      <x:c r="F61" s="26" t="str">
        <x:v>Graduate</x:v>
      </x:c>
      <x:c r="G61" s="26" t="str">
        <x:v>B2B sales; communication; CRM</x:v>
      </x:c>
      <x:c r="H61" s="26" t="str">
        <x:v>https://in.indeed.com/</x:v>
      </x:c>
      <x:c r="I61" s="26" t="str">
        <x:v>Not publicly listed</x:v>
      </x:c>
      <x:c r="J61" s="26" t="str">
        <x:v>Not publicly listed</x:v>
      </x:c>
      <x:c r="K61" s="26" t="str">
        <x:v>Rolling</x:v>
      </x:c>
      <x:c r="L61" s="36" t="n">
        <x:v>8</x:v>
      </x:c>
      <x:c r="M61" s="26" t="str">
        <x:v>Corporate sales foundation.</x:v>
      </x:c>
      <x:c r="N61" s="26" t="str">
        <x:v>Not Applied</x:v>
      </x:c>
      <x:c r="O61" s="26" t="str"/>
      <x:c r="P61" s="26" t="str"/>
      <x:c r="Q61" s="26" t="str">
        <x:v>Not Started</x:v>
      </x:c>
      <x:c r="R61" s="26" t="str"/>
    </x:row>
    <x:row r="62" ht="38" customHeight="1">
      <x:c r="A62" s="26" t="str">
        <x:v>24/7.ai</x:v>
      </x:c>
      <x:c r="B62" s="26" t="str">
        <x:v>Customer Support Executive</x:v>
      </x:c>
      <x:c r="C62" s="26" t="str">
        <x:v>Bengaluru</x:v>
      </x:c>
      <x:c r="D62" s="26" t="str">
        <x:v>Fresher</x:v>
      </x:c>
      <x:c r="E62" s="26" t="str">
        <x:v>Not disclosed</x:v>
      </x:c>
      <x:c r="F62" s="26" t="str">
        <x:v>Graduate</x:v>
      </x:c>
      <x:c r="G62" s="26" t="str">
        <x:v>Customer service; communication; process management</x:v>
      </x:c>
      <x:c r="H62" s="26" t="str">
        <x:v>https://in.indeed.com/</x:v>
      </x:c>
      <x:c r="I62" s="26" t="str">
        <x:v>https://www.247.ai/company/careers</x:v>
      </x:c>
      <x:c r="J62" s="26" t="str">
        <x:v>Not publicly listed</x:v>
      </x:c>
      <x:c r="K62" s="26" t="str">
        <x:v>Rolling</x:v>
      </x:c>
      <x:c r="L62" s="36" t="n">
        <x:v>7.7</x:v>
      </x:c>
      <x:c r="M62" s="26" t="str">
        <x:v>Useful corporate operations experience.</x:v>
      </x:c>
      <x:c r="N62" s="26" t="str">
        <x:v>Not Applied</x:v>
      </x:c>
      <x:c r="O62" s="26" t="str"/>
      <x:c r="P62" s="26" t="str"/>
      <x:c r="Q62" s="26" t="str">
        <x:v>Not Started</x:v>
      </x:c>
      <x:c r="R62" s="26" t="str"/>
    </x:row>
  </x:sheetData>
  <x:conditionalFormatting sqref="L2:L62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dataValidations count="2">
    <x:dataValidation type="list" sqref="N2:N62">
      <x:formula1>"Not Applied,Applied,Rejected,Interview,Offer,On Hold"</x:formula1>
    </x:dataValidation>
    <x:dataValidation type="list" sqref="P2:P62">
      <x:formula1>"Not Started,Screening,HR,Manager,Final,Offer,Rejected"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e2616c8a614e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8" hidden="0" customWidth="1"/>
    <x:col min="5" max="5" width="24" hidden="0" customWidth="1"/>
    <x:col min="6" max="6" width="30" hidden="0" customWidth="1"/>
    <x:col min="7" max="7" width="42" hidden="0" customWidth="1"/>
    <x:col min="8" max="8" width="42" hidden="0" customWidth="1"/>
    <x:col min="9" max="9" width="34" hidden="0" customWidth="1"/>
    <x:col min="10" max="10" width="32" hidden="0" customWidth="1"/>
    <x:col min="11" max="11" width="16" hidden="0" customWidth="1"/>
    <x:col min="12" max="12" width="11" hidden="0" customWidth="1"/>
    <x:col min="13" max="13" width="46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38" customHeight="1">
      <x:c r="A1" s="30" t="str">
        <x:v>Company</x:v>
      </x:c>
      <x:c r="B1" s="30" t="str">
        <x:v>Role Title</x:v>
      </x:c>
      <x:c r="C1" s="30" t="str">
        <x:v>Location</x:v>
      </x:c>
      <x:c r="D1" s="30" t="str">
        <x:v>Experience</x:v>
      </x:c>
      <x:c r="E1" s="30" t="str">
        <x:v>Salary</x:v>
      </x:c>
      <x:c r="F1" s="30" t="str">
        <x:v>Qualifications</x:v>
      </x:c>
      <x:c r="G1" s="30" t="str">
        <x:v>Skills Required</x:v>
      </x:c>
      <x:c r="H1" s="30" t="str">
        <x:v>Direct Application Link</x:v>
      </x:c>
      <x:c r="I1" s="30" t="str">
        <x:v>Careers Link</x:v>
      </x:c>
      <x:c r="J1" s="30" t="str">
        <x:v>Recruiter / Contact</x:v>
      </x:c>
      <x:c r="K1" s="30" t="str">
        <x:v>Deadline</x:v>
      </x:c>
      <x:c r="L1" s="30" t="str">
        <x:v>Fit Score</x:v>
      </x:c>
      <x:c r="M1" s="30" t="str">
        <x:v>Source / Notes</x:v>
      </x:c>
      <x:c r="N1" s="30" t="str">
        <x:v>Status</x:v>
      </x:c>
      <x:c r="O1" s="30" t="str">
        <x:v>Applied Date</x:v>
      </x:c>
      <x:c r="P1" s="30" t="str">
        <x:v>Follow-up Date</x:v>
      </x:c>
      <x:c r="Q1" s="30" t="str">
        <x:v>Interview Stage</x:v>
      </x:c>
      <x:c r="R1" s="30" t="str">
        <x:v>Notes</x:v>
      </x:c>
    </x:row>
    <x:row r="2" ht="38" customHeight="1">
      <x:c r="A2" s="26" t="str">
        <x:v>Greendzine Technologies</x:v>
      </x:c>
      <x:c r="B2" s="26" t="str">
        <x:v>Management Trainee Program</x:v>
      </x:c>
      <x:c r="C2" s="26" t="str">
        <x:v>Bengaluru South</x:v>
      </x:c>
      <x:c r="D2" s="26" t="str">
        <x:v>0–1 year</x:v>
      </x:c>
      <x:c r="E2" s="26" t="str">
        <x:v>₹6 LPA CTC (₹4.8L fixed + ₹1.2L incentive)</x:v>
      </x:c>
      <x:c r="F2" s="26" t="str">
        <x:v>BBA/BBM/B.Com/BA; CGPA &gt;7.0</x:v>
      </x:c>
      <x:c r="G2" s="26" t="str">
        <x:v>B2B sales; business development; presentations; CRM; customer engagement; travel</x:v>
      </x:c>
      <x:c r="H2" s="26" t="str">
        <x:v>https://to.indeed.com/aakm8k69khbn2</x:v>
      </x:c>
      <x:c r="I2" s="26" t="str">
        <x:v>https://www.greendzine.com/</x:v>
      </x:c>
      <x:c r="J2" s="26" t="str">
        <x:v>info@greendzine.in</x:v>
      </x:c>
      <x:c r="K2" s="26" t="str">
        <x:v>30-Sep-2026</x:v>
      </x:c>
      <x:c r="L2" s="36" t="n">
        <x:v>10</x:v>
      </x:c>
      <x:c r="M2" s="26" t="str">
        <x:v>12-month program; domestic/international travel; potential permanent role up to ₹10 LPA based on performance.</x:v>
      </x:c>
      <x:c r="N2" s="26" t="str">
        <x:v>Not Applied</x:v>
      </x:c>
      <x:c r="O2" s="26" t="str"/>
      <x:c r="P2" s="26" t="str"/>
      <x:c r="Q2" s="26" t="str">
        <x:v>Not Started</x:v>
      </x:c>
      <x:c r="R2" s="26" t="str"/>
    </x:row>
    <x:row r="3" ht="38" customHeight="1">
      <x:c r="A3" s="26" t="str">
        <x:v>KredX</x:v>
      </x:c>
      <x:c r="B3" s="26" t="str">
        <x:v>Corporate Sales Trainee</x:v>
      </x:c>
      <x:c r="C3" s="26" t="str">
        <x:v>Bengaluru</x:v>
      </x:c>
      <x:c r="D3" s="26" t="str">
        <x:v>Fresher</x:v>
      </x:c>
      <x:c r="E3" s="26" t="str">
        <x:v>Not disclosed</x:v>
      </x:c>
      <x:c r="F3" s="26" t="str">
        <x:v>Any graduate/postgraduate</x:v>
      </x:c>
      <x:c r="G3" s="26" t="str">
        <x:v>B2B prospecting; LinkedIn research; Excel; CRM; sales; client communication</x:v>
      </x:c>
      <x:c r="H3" s="26" t="str">
        <x:v>https://to.indeed.com/aapr6nnhmrdr</x:v>
      </x:c>
      <x:c r="I3" s="26" t="str">
        <x:v>https://www.kredx.com/join-our-team</x:v>
      </x:c>
      <x:c r="J3" s="26" t="str">
        <x:v>info@kredx.com | +91-8061799200 | 1800 419 4919</x:v>
      </x:c>
      <x:c r="K3" s="26" t="str">
        <x:v>Rolling</x:v>
      </x:c>
      <x:c r="L3" s="36" t="n">
        <x:v>9.8</x:v>
      </x:c>
      <x:c r="M3" s="26" t="str">
        <x:v>Strong International Business relevance via supply-chain finance and cross-border trade finance.</x:v>
      </x:c>
      <x:c r="N3" s="26" t="str">
        <x:v>Not Applied</x:v>
      </x:c>
      <x:c r="O3" s="26" t="str"/>
      <x:c r="P3" s="26" t="str"/>
      <x:c r="Q3" s="26" t="str">
        <x:v>Not Started</x:v>
      </x:c>
      <x:c r="R3" s="26" t="str"/>
    </x:row>
    <x:row r="4" ht="38" customHeight="1">
      <x:c r="A4" s="26" t="str">
        <x:v>Infineon Technologies</x:v>
      </x:c>
      <x:c r="B4" s="26" t="str">
        <x:v>International Graduate Program – Sales &amp; Business Development</x:v>
      </x:c>
      <x:c r="C4" s="26" t="str">
        <x:v>Bengaluru / Global rotations</x:v>
      </x:c>
      <x:c r="D4" s="26" t="str">
        <x:v>Graduate</x:v>
      </x:c>
      <x:c r="E4" s="26" t="str">
        <x:v>Not disclosed</x:v>
      </x:c>
      <x:c r="F4" s="26" t="str">
        <x:v>Bachelor’s/Master’s relevant to business role</x:v>
      </x:c>
      <x:c r="G4" s="26" t="str">
        <x:v>Sales; business development; analytical thinking; intercultural skills; English</x:v>
      </x:c>
      <x:c r="H4" s="26" t="str">
        <x:v>https://www.infineon.com/cms/en/careers/jobsearch/</x:v>
      </x:c>
      <x:c r="I4" s="26" t="str">
        <x:v>https://www.infineon.com/cms/en/careers/</x:v>
      </x:c>
      <x:c r="J4" s="26" t="str">
        <x:v>Not publicly listed</x:v>
      </x:c>
      <x:c r="K4" s="26" t="str">
        <x:v>Rolling</x:v>
      </x:c>
      <x:c r="L4" s="36" t="n">
        <x:v>9.7</x:v>
      </x:c>
      <x:c r="M4" s="26" t="str">
        <x:v>18-month international graduate program with 3–4 assignments including possible international assignment.</x:v>
      </x:c>
      <x:c r="N4" s="26" t="str">
        <x:v>Not Applied</x:v>
      </x:c>
      <x:c r="O4" s="26" t="str"/>
      <x:c r="P4" s="26" t="str"/>
      <x:c r="Q4" s="26" t="str">
        <x:v>Not Started</x:v>
      </x:c>
      <x:c r="R4" s="26" t="str"/>
    </x:row>
    <x:row r="5" ht="38" customHeight="1">
      <x:c r="A5" s="26" t="str">
        <x:v>Mydbops</x:v>
      </x:c>
      <x:c r="B5" s="26" t="str">
        <x:v>Business Development Executive</x:v>
      </x:c>
      <x:c r="C5" s="26" t="str">
        <x:v>Bengaluru</x:v>
      </x:c>
      <x:c r="D5" s="26" t="str">
        <x:v>Fresher / &lt;2 years</x:v>
      </x:c>
      <x:c r="E5" s="26" t="str">
        <x:v>₹4–5.5 LPA (reported in prior scan)</x:v>
      </x:c>
      <x:c r="F5" s="26" t="str">
        <x:v>Graduate / BBA relevant</x:v>
      </x:c>
      <x:c r="G5" s="26" t="str">
        <x:v>B2B sales; lead generation; client relationships; business development</x:v>
      </x:c>
      <x:c r="H5" s="26" t="str">
        <x:v>https://www.mydbops.com/careers</x:v>
      </x:c>
      <x:c r="I5" s="26" t="str">
        <x:v>https://www.mydbops.com/careers</x:v>
      </x:c>
      <x:c r="J5" s="26" t="str">
        <x:v>talent@mydbops.com</x:v>
      </x:c>
      <x:c r="K5" s="26" t="str">
        <x:v>Rolling</x:v>
      </x:c>
      <x:c r="L5" s="36" t="n">
        <x:v>9.3</x:v>
      </x:c>
      <x:c r="M5" s="26" t="str">
        <x:v>Global customers across US, Europe, Middle East and Southeast Asia.</x:v>
      </x:c>
      <x:c r="N5" s="26" t="str">
        <x:v>Not Applied</x:v>
      </x:c>
      <x:c r="O5" s="26" t="str"/>
      <x:c r="P5" s="26" t="str"/>
      <x:c r="Q5" s="26" t="str">
        <x:v>Not Started</x:v>
      </x:c>
      <x:c r="R5" s="26" t="str"/>
    </x:row>
    <x:row r="6" ht="38" customHeight="1">
      <x:c r="A6" s="26" t="str">
        <x:v>Shetron</x:v>
      </x:c>
      <x:c r="B6" s="26" t="str">
        <x:v>Commerce Graduate Trainee</x:v>
      </x:c>
      <x:c r="C6" s="26" t="str">
        <x:v>Bommasandra, Bengaluru</x:v>
      </x:c>
      <x:c r="D6" s="26" t="str">
        <x:v>Fresher</x:v>
      </x:c>
      <x:c r="E6" s="26" t="str">
        <x:v>₹15,000–25,000/month</x:v>
      </x:c>
      <x:c r="F6" s="26" t="str">
        <x:v>Commerce/business graduate</x:v>
      </x:c>
      <x:c r="G6" s="26" t="str">
        <x:v>Excel; purchase orders; vendor coordination; inventory; commercial operations</x:v>
      </x:c>
      <x:c r="H6" s="26" t="str">
        <x:v>https://in.indeed.com/</x:v>
      </x:c>
      <x:c r="I6" s="26" t="str">
        <x:v>https://shetrom.com/</x:v>
      </x:c>
      <x:c r="J6" s="26" t="str">
        <x:v>Not publicly listed</x:v>
      </x:c>
      <x:c r="K6" s="26" t="str">
        <x:v>Rolling</x:v>
      </x:c>
      <x:c r="L6" s="36" t="n">
        <x:v>9.2</x:v>
      </x:c>
      <x:c r="M6" s="26" t="str">
        <x:v>Functions include procurement, stores, admin, HR and commercial operations.</x:v>
      </x:c>
      <x:c r="N6" s="26" t="str">
        <x:v>Not Applied</x:v>
      </x:c>
      <x:c r="O6" s="26" t="str"/>
      <x:c r="P6" s="26" t="str"/>
      <x:c r="Q6" s="26" t="str">
        <x:v>Not Started</x:v>
      </x:c>
      <x:c r="R6" s="26" t="str"/>
    </x:row>
    <x:row r="7" ht="38" customHeight="1">
      <x:c r="A7" s="26" t="str">
        <x:v>Amvi Supply Chain Solutions</x:v>
      </x:c>
      <x:c r="B7" s="26" t="str">
        <x:v>Business Development Associate</x:v>
      </x:c>
      <x:c r="C7" s="26" t="str">
        <x:v>Bengaluru</x:v>
      </x:c>
      <x:c r="D7" s="26" t="str">
        <x:v>BBA grads / internship experience considered</x:v>
      </x:c>
      <x:c r="E7" s="26" t="str">
        <x:v>₹20,000–35,000/month</x:v>
      </x:c>
      <x:c r="F7" s="26" t="str">
        <x:v>BBA / relevant graduate</x:v>
      </x:c>
      <x:c r="G7" s="26" t="str">
        <x:v>B2B logistics; procurement/supply chain selling; Excel; PowerPoint; CRM; LinkedIn prospecting</x:v>
      </x:c>
      <x:c r="H7" s="26" t="str">
        <x:v>https://to.indeed.com/aakb8cjt4cqd</x:v>
      </x:c>
      <x:c r="I7" s="26" t="str">
        <x:v>https://www.amvi.co/</x:v>
      </x:c>
      <x:c r="J7" s="26" t="str">
        <x:v>Not publicly listed</x:v>
      </x:c>
      <x:c r="K7" s="26" t="str">
        <x:v>Rolling</x:v>
      </x:c>
      <x:c r="L7" s="36" t="n">
        <x:v>9.2</x:v>
      </x:c>
      <x:c r="M7" s="26" t="str">
        <x:v>Strong bridge from BBA International Business into logistics and B2B sales.</x:v>
      </x:c>
      <x:c r="N7" s="26" t="str">
        <x:v>Not Applied</x:v>
      </x:c>
      <x:c r="O7" s="26" t="str"/>
      <x:c r="P7" s="26" t="str"/>
      <x:c r="Q7" s="26" t="str">
        <x:v>Not Started</x:v>
      </x:c>
      <x:c r="R7" s="26" t="str"/>
    </x:row>
    <x:row r="8" ht="38" customHeight="1">
      <x:c r="A8" s="26" t="str">
        <x:v>Jayshree Industries</x:v>
      </x:c>
      <x:c r="B8" s="26" t="str">
        <x:v>Business Development Executive – Export-Import / EXIM</x:v>
      </x:c>
      <x:c r="C8" s="26" t="str">
        <x:v>Richmond Town, Bengaluru</x:v>
      </x:c>
      <x:c r="D8" s="26" t="str">
        <x:v>Fresher–1 year</x:v>
      </x:c>
      <x:c r="E8" s="26" t="str">
        <x:v>₹25,000–30,000/month</x:v>
      </x:c>
      <x:c r="F8" s="26" t="str">
        <x:v>Graduate</x:v>
      </x:c>
      <x:c r="G8" s="26" t="str">
        <x:v>International business; global trade; business development; communication</x:v>
      </x:c>
      <x:c r="H8" s="26" t="str">
        <x:v>https://in.indeed.com/</x:v>
      </x:c>
      <x:c r="I8" s="26" t="str">
        <x:v>Not publicly listed</x:v>
      </x:c>
      <x:c r="J8" s="26" t="str">
        <x:v>Not publicly listed</x:v>
      </x:c>
      <x:c r="K8" s="26" t="str">
        <x:v>Rolling</x:v>
      </x:c>
      <x:c r="L8" s="36" t="n">
        <x:v>10</x:v>
      </x:c>
      <x:c r="M8" s="26" t="str">
        <x:v>Direct export-import/global trade relevance; verify exact live Bangalore requisition before applying.</x:v>
      </x:c>
      <x:c r="N8" s="26" t="str">
        <x:v>Not Applied</x:v>
      </x:c>
      <x:c r="O8" s="26" t="str"/>
      <x:c r="P8" s="26" t="str"/>
      <x:c r="Q8" s="26" t="str">
        <x:v>Not Started</x:v>
      </x:c>
      <x:c r="R8" s="26" t="str"/>
    </x:row>
    <x:row r="9" ht="38" customHeight="1">
      <x:c r="A9" s="26" t="str">
        <x:v>First Citizens India</x:v>
      </x:c>
      <x:c r="B9" s="26" t="str">
        <x:v>Apprentice – Enterprise Operations</x:v>
      </x:c>
      <x:c r="C9" s="26" t="str">
        <x:v>Bengaluru</x:v>
      </x:c>
      <x:c r="D9" s="26" t="str">
        <x:v>Fresher; 2025/2026 graduates</x:v>
      </x:c>
      <x:c r="E9" s="26" t="str">
        <x:v>Not disclosed</x:v>
      </x:c>
      <x:c r="F9" s="26" t="str">
        <x:v>Graduate</x:v>
      </x:c>
      <x:c r="G9" s="26" t="str">
        <x:v>Banking operations; KYC; payments; onboarding; fraud-prevention operations</x:v>
      </x:c>
      <x:c r="H9" s="26" t="str">
        <x:v>https://svb.wd5.myworkdayjobs.com/en-US/firstcitizensindia/job/Apprentice---Enterprise-Operations_24763</x:v>
      </x:c>
      <x:c r="I9" s="26" t="str">
        <x:v>https://www.firstcitizens.com/careers</x:v>
      </x:c>
      <x:c r="J9" s="26" t="str">
        <x:v>Not publicly listed</x:v>
      </x:c>
      <x:c r="K9" s="26" t="str">
        <x:v>Verify live requisition</x:v>
      </x:c>
      <x:c r="L9" s="36" t="n">
        <x:v>9.7</x:v>
      </x:c>
      <x:c r="M9" s="26" t="str">
        <x:v>Strong banking/GCC entry point; public sources previously showed conflicting close dates.</x:v>
      </x:c>
      <x:c r="N9" s="26" t="str">
        <x:v>Not Applied</x:v>
      </x:c>
      <x:c r="O9" s="26" t="str"/>
      <x:c r="P9" s="26" t="str"/>
      <x:c r="Q9" s="26" t="str">
        <x:v>Not Started</x:v>
      </x:c>
      <x:c r="R9" s="26" t="str"/>
    </x:row>
    <x:row r="10" ht="38" customHeight="1">
      <x:c r="A10" s="26" t="str">
        <x:v>Accenture</x:v>
      </x:c>
      <x:c r="B10" s="26" t="str">
        <x:v>Procurement Practice – New Associate</x:v>
      </x:c>
      <x:c r="C10" s="26" t="str">
        <x:v>Bengaluru</x:v>
      </x:c>
      <x:c r="D10" s="26" t="str">
        <x:v>0–1 year</x:v>
      </x:c>
      <x:c r="E10" s="26" t="str">
        <x:v>Not disclosed</x:v>
      </x:c>
      <x:c r="F10" s="26" t="str">
        <x:v>BBA/B.Com/any graduation</x:v>
      </x:c>
      <x:c r="G10" s="26" t="str">
        <x:v>Procurement; operations; stakeholder management; Excel</x:v>
      </x:c>
      <x:c r="H10" s="26" t="str">
        <x:v>https://www.bayt.com/en/india/jobs/procurement-practice-new-associate-74253954/</x:v>
      </x:c>
      <x:c r="I10" s="26" t="str">
        <x:v>https://www.accenture.com/in-en/careers</x:v>
      </x:c>
      <x:c r="J10" s="26" t="str">
        <x:v>Not publicly listed</x:v>
      </x:c>
      <x:c r="K10" s="26" t="str">
        <x:v>Rolling</x:v>
      </x:c>
      <x:c r="L10" s="36" t="n">
        <x:v>9.5</x:v>
      </x:c>
      <x:c r="M10" s="26" t="str">
        <x:v>Direct procurement-operations path within a global consulting firm.</x:v>
      </x:c>
      <x:c r="N10" s="26" t="str">
        <x:v>Not Applied</x:v>
      </x:c>
      <x:c r="O10" s="26" t="str"/>
      <x:c r="P10" s="26" t="str"/>
      <x:c r="Q10" s="26" t="str">
        <x:v>Not Started</x:v>
      </x:c>
      <x:c r="R10" s="26" t="str"/>
    </x:row>
    <x:row r="11" ht="38" customHeight="1">
      <x:c r="A11" s="26" t="str">
        <x:v>Accenture</x:v>
      </x:c>
      <x:c r="B11" s="26" t="str">
        <x:v>Procure-to-Pay Operations – New Associate</x:v>
      </x:c>
      <x:c r="C11" s="26" t="str">
        <x:v>Bengaluru</x:v>
      </x:c>
      <x:c r="D11" s="26" t="str">
        <x:v>0–1 year</x:v>
      </x:c>
      <x:c r="E11" s="26" t="str">
        <x:v>Not disclosed</x:v>
      </x:c>
      <x:c r="F11" s="26" t="str">
        <x:v>BBA/B.Com/any graduation</x:v>
      </x:c>
      <x:c r="G11" s="26" t="str">
        <x:v>P2P; procurement; finance operations; ERP; reporting</x:v>
      </x:c>
      <x:c r="H11" s="26" t="str">
        <x:v>https://getmereferred.com/in/job-listing/procure-to-pay-operations-new-associate-accenture-inkabengaluru-to-3-years-experience-dfa4b245-c39f-4bcf-938c-ebbc53f06668</x:v>
      </x:c>
      <x:c r="I11" s="26" t="str">
        <x:v>https://www.accenture.com/in-en/careers</x:v>
      </x:c>
      <x:c r="J11" s="26" t="str">
        <x:v>Not publicly listed</x:v>
      </x:c>
      <x:c r="K11" s="26" t="str">
        <x:v>Rolling</x:v>
      </x:c>
      <x:c r="L11" s="36" t="n">
        <x:v>9.4</x:v>
      </x:c>
      <x:c r="M11" s="26" t="str">
        <x:v>Strong shared-services entry point for procurement and global operations.</x:v>
      </x:c>
      <x:c r="N11" s="26" t="str">
        <x:v>Not Applied</x:v>
      </x:c>
      <x:c r="O11" s="26" t="str"/>
      <x:c r="P11" s="26" t="str"/>
      <x:c r="Q11" s="26" t="str">
        <x:v>Not Started</x:v>
      </x:c>
      <x:c r="R11" s="26" t="str"/>
    </x:row>
    <x:row r="12" ht="38" customHeight="1">
      <x:c r="A12" s="26" t="str">
        <x:v>Ray Group of Company</x:v>
      </x:c>
      <x:c r="B12" s="26" t="str">
        <x:v>Purchase Officer</x:v>
      </x:c>
      <x:c r="C12" s="26" t="str">
        <x:v>Bengaluru</x:v>
      </x:c>
      <x:c r="D12" s="26" t="str">
        <x:v>0–1 year</x:v>
      </x:c>
      <x:c r="E12" s="26" t="str">
        <x:v>Not disclosed</x:v>
      </x:c>
      <x:c r="F12" s="26" t="str">
        <x:v>BBA / graduate</x:v>
      </x:c>
      <x:c r="G12" s="26" t="str">
        <x:v>Procurement; vendor negotiation; purchase orders; inventory; ERP/SAP</x:v>
      </x:c>
      <x:c r="H12" s="26" t="str">
        <x:v>https://in.indeed.com/</x:v>
      </x:c>
      <x:c r="I12" s="26" t="str">
        <x:v>Not publicly listed</x:v>
      </x:c>
      <x:c r="J12" s="26" t="str">
        <x:v>Not publicly listed</x:v>
      </x:c>
      <x:c r="K12" s="26" t="str">
        <x:v>Rolling</x:v>
      </x:c>
      <x:c r="L12" s="36" t="n">
        <x:v>9.2</x:v>
      </x:c>
      <x:c r="M12" s="26" t="str">
        <x:v>Direct procurement experience.</x:v>
      </x:c>
      <x:c r="N12" s="26" t="str">
        <x:v>Not Applied</x:v>
      </x:c>
      <x:c r="O12" s="26" t="str"/>
      <x:c r="P12" s="26" t="str"/>
      <x:c r="Q12" s="26" t="str">
        <x:v>Not Started</x:v>
      </x:c>
      <x:c r="R12" s="26" t="str"/>
    </x:row>
    <x:row r="13" ht="38" customHeight="1">
      <x:c r="A13" s="26" t="str">
        <x:v>CityGreens</x:v>
      </x:c>
      <x:c r="B13" s="26" t="str">
        <x:v>Operations Executive</x:v>
      </x:c>
      <x:c r="C13" s="26" t="str">
        <x:v>Bengaluru South</x:v>
      </x:c>
      <x:c r="D13" s="26" t="str">
        <x:v>0–1 year</x:v>
      </x:c>
      <x:c r="E13" s="26" t="str">
        <x:v>₹25,000/month</x:v>
      </x:c>
      <x:c r="F13" s="26" t="str">
        <x:v>BBA / graduate</x:v>
      </x:c>
      <x:c r="G13" s="26" t="str">
        <x:v>Procurement; supply chain; e-commerce; cross-office coordination</x:v>
      </x:c>
      <x:c r="H13" s="26" t="str">
        <x:v>https://in.indeed.com/</x:v>
      </x:c>
      <x:c r="I13" s="26" t="str">
        <x:v>https://www.citygreens.com/</x:v>
      </x:c>
      <x:c r="J13" s="26" t="str">
        <x:v>Not publicly listed</x:v>
      </x:c>
      <x:c r="K13" s="26" t="str">
        <x:v>Rolling</x:v>
      </x:c>
      <x:c r="L13" s="36" t="n">
        <x:v>9.1</x:v>
      </x:c>
      <x:c r="M13" s="26" t="str">
        <x:v>Good operations + supply chain exposure.</x:v>
      </x:c>
      <x:c r="N13" s="26" t="str">
        <x:v>Not Applied</x:v>
      </x:c>
      <x:c r="O13" s="26" t="str"/>
      <x:c r="P13" s="26" t="str"/>
      <x:c r="Q13" s="26" t="str">
        <x:v>Not Started</x:v>
      </x:c>
      <x:c r="R13" s="26" t="str"/>
    </x:row>
    <x:row r="14" ht="38" customHeight="1">
      <x:c r="A14" s="26" t="str">
        <x:v>ValetEZ</x:v>
      </x:c>
      <x:c r="B14" s="26" t="str">
        <x:v>Project Coordinator – Deployment Operations</x:v>
      </x:c>
      <x:c r="C14" s="26" t="str">
        <x:v>Ramamurthy Nagar, Bengaluru</x:v>
      </x:c>
      <x:c r="D14" s="26" t="str">
        <x:v>Freshers may apply</x:v>
      </x:c>
      <x:c r="E14" s="26" t="str">
        <x:v>₹12,000–15,000/month</x:v>
      </x:c>
      <x:c r="F14" s="26" t="str">
        <x:v>BBA/Commerce/Supply Chain/Operations</x:v>
      </x:c>
      <x:c r="G14" s="26" t="str">
        <x:v>Excel; Google Sheets; inventory; documentation; vendor coordination; import/export documentation</x:v>
      </x:c>
      <x:c r="H14" s="26" t="str">
        <x:v>https://to.indeed.com/aayhn24fbtxf</x:v>
      </x:c>
      <x:c r="I14" s="26" t="str">
        <x:v>https://www.valetez.com/</x:v>
      </x:c>
      <x:c r="J14" s="26" t="str">
        <x:v>Not publicly listed</x:v>
      </x:c>
      <x:c r="K14" s="26" t="str">
        <x:v>Rolling</x:v>
      </x:c>
      <x:c r="L14" s="36" t="n">
        <x:v>9</x:v>
      </x:c>
      <x:c r="M14" s="26" t="str">
        <x:v>Very relevant work, but low compensation.</x:v>
      </x:c>
      <x:c r="N14" s="26" t="str">
        <x:v>Not Applied</x:v>
      </x:c>
      <x:c r="O14" s="26" t="str"/>
      <x:c r="P14" s="26" t="str"/>
      <x:c r="Q14" s="26" t="str">
        <x:v>Not Started</x:v>
      </x:c>
      <x:c r="R14" s="26" t="str"/>
    </x:row>
    <x:row r="15" ht="38" customHeight="1">
      <x:c r="A15" s="26" t="str">
        <x:v>TIF Labs</x:v>
      </x:c>
      <x:c r="B15" s="26" t="str">
        <x:v>Logistics Associate</x:v>
      </x:c>
      <x:c r="C15" s="26" t="str">
        <x:v>Kalyan Nagar, Bengaluru</x:v>
      </x:c>
      <x:c r="D15" s="26" t="str">
        <x:v>2+ years preferred</x:v>
      </x:c>
      <x:c r="E15" s="26" t="str">
        <x:v>Up to ₹35,000/month</x:v>
      </x:c>
      <x:c r="F15" s="26" t="str">
        <x:v>BBA/International Business/Logistics/Supply Chain</x:v>
      </x:c>
      <x:c r="G15" s="26" t="str">
        <x:v>Import shipments; customs; DGFT; HSN; Incoterms; freight forwarders; shipping documents</x:v>
      </x:c>
      <x:c r="H15" s="26" t="str">
        <x:v>https://to.indeed.com/aa4bjfjtnys6</x:v>
      </x:c>
      <x:c r="I15" s="26" t="str">
        <x:v>Not publicly listed</x:v>
      </x:c>
      <x:c r="J15" s="26" t="str">
        <x:v>Not publicly listed</x:v>
      </x:c>
      <x:c r="K15" s="26" t="str">
        <x:v>Rolling</x:v>
      </x:c>
      <x:c r="L15" s="36" t="n">
        <x:v>9.5</x:v>
      </x:c>
      <x:c r="M15" s="26" t="str">
        <x:v>Excellent technical trade/logistics relevance; stretch role for fresher.</x:v>
      </x:c>
      <x:c r="N15" s="26" t="str">
        <x:v>Not Applied</x:v>
      </x:c>
      <x:c r="O15" s="26" t="str"/>
      <x:c r="P15" s="26" t="str"/>
      <x:c r="Q15" s="26" t="str">
        <x:v>Not Started</x:v>
      </x:c>
      <x:c r="R15" s="26" t="str"/>
    </x:row>
    <x:row r="16" ht="38" customHeight="1">
      <x:c r="A16" s="26" t="str">
        <x:v>Tradepass</x:v>
      </x:c>
      <x:c r="B16" s="26" t="str">
        <x:v>Business Development Executive</x:v>
      </x:c>
      <x:c r="C16" s="26" t="str">
        <x:v>Bengaluru</x:v>
      </x:c>
      <x:c r="D16" s="26" t="str">
        <x:v>Fresher</x:v>
      </x:c>
      <x:c r="E16" s="26" t="str">
        <x:v>₹25,000–35,000/month</x:v>
      </x:c>
      <x:c r="F16" s="26" t="str">
        <x:v>Graduate</x:v>
      </x:c>
      <x:c r="G16" s="26" t="str">
        <x:v>B2B delegate sales; executive prospecting; CRM; international markets; travel</x:v>
      </x:c>
      <x:c r="H16" s="26" t="str">
        <x:v>https://to.indeed.com/aay9gc8k7vhx</x:v>
      </x:c>
      <x:c r="I16" s="26" t="str">
        <x:v>https://tradepassglobal.com/</x:v>
      </x:c>
      <x:c r="J16" s="26" t="str">
        <x:v>Not publicly listed</x:v>
      </x:c>
      <x:c r="K16" s="26" t="str">
        <x:v>Rolling</x:v>
      </x:c>
      <x:c r="L16" s="36" t="n">
        <x:v>9.2</x:v>
      </x:c>
      <x:c r="M16" s="26" t="str">
        <x:v>International markets and potential international travel.</x:v>
      </x:c>
      <x:c r="N16" s="26" t="str">
        <x:v>Not Applied</x:v>
      </x:c>
      <x:c r="O16" s="26" t="str"/>
      <x:c r="P16" s="26" t="str"/>
      <x:c r="Q16" s="26" t="str">
        <x:v>Not Started</x:v>
      </x:c>
      <x:c r="R16" s="26" t="str"/>
    </x:row>
    <x:row r="17" ht="38" customHeight="1">
      <x:c r="A17" s="26" t="str">
        <x:v>BrightCHAMPS</x:v>
      </x:c>
      <x:c r="B17" s="26" t="str">
        <x:v>Business Development Executive – International Sales</x:v>
      </x:c>
      <x:c r="C17" s="26" t="str">
        <x:v>HSR Layout, Bengaluru</x:v>
      </x:c>
      <x:c r="D17" s="26" t="str">
        <x:v>0–3 years / freshers</x:v>
      </x:c>
      <x:c r="E17" s="26" t="str">
        <x:v>₹3.5–4.6 LPA + incentives</x:v>
      </x:c>
      <x:c r="F17" s="26" t="str">
        <x:v>Graduate</x:v>
      </x:c>
      <x:c r="G17" s="26" t="str">
        <x:v>International sales; CRM; negotiation; customer acquisition</x:v>
      </x:c>
      <x:c r="H17" s="26" t="str">
        <x:v>https://to.indeed.com/aadmxwghbcvp</x:v>
      </x:c>
      <x:c r="I17" s="26" t="str">
        <x:v>https://brightchamps.com/careers</x:v>
      </x:c>
      <x:c r="J17" s="26" t="str">
        <x:v>Not publicly listed</x:v>
      </x:c>
      <x:c r="K17" s="26" t="str">
        <x:v>Rolling</x:v>
      </x:c>
      <x:c r="L17" s="36" t="n">
        <x:v>8.8</x:v>
      </x:c>
      <x:c r="M17" s="26" t="str">
        <x:v>Strong international-market exposure; six-day schedule noted in prior scan.</x:v>
      </x:c>
      <x:c r="N17" s="26" t="str">
        <x:v>Not Applied</x:v>
      </x:c>
      <x:c r="O17" s="26" t="str"/>
      <x:c r="P17" s="26" t="str"/>
      <x:c r="Q17" s="26" t="str">
        <x:v>Not Started</x:v>
      </x:c>
      <x:c r="R17" s="26" t="str"/>
    </x:row>
    <x:row r="18" ht="38" customHeight="1">
      <x:c r="A18" s="26" t="str">
        <x:v>MHS</x:v>
      </x:c>
      <x:c r="B18" s="26" t="str">
        <x:v>Business Development Executive</x:v>
      </x:c>
      <x:c r="C18" s="26" t="str">
        <x:v>Bengaluru</x:v>
      </x:c>
      <x:c r="D18" s="26" t="str">
        <x:v>Fresher–3 years</x:v>
      </x:c>
      <x:c r="E18" s="26" t="str">
        <x:v>₹3–5 LPA</x:v>
      </x:c>
      <x:c r="F18" s="26" t="str">
        <x:v>BBA/B.Com/BCA/MBA/graduate</x:v>
      </x:c>
      <x:c r="G18" s="26" t="str">
        <x:v>Lead generation; CRM; client relationships; sales</x:v>
      </x:c>
      <x:c r="H18" s="26" t="str">
        <x:v>https://to.indeed.com/aa7lqzzmnvc</x:v>
      </x:c>
      <x:c r="I18" s="26" t="str">
        <x:v>Not publicly listed</x:v>
      </x:c>
      <x:c r="J18" s="26" t="str">
        <x:v>sony@myhaulstore.com | 8296015762</x:v>
      </x:c>
      <x:c r="K18" s="26" t="str">
        <x:v>Rolling</x:v>
      </x:c>
      <x:c r="L18" s="36" t="n">
        <x:v>8.5</x:v>
      </x:c>
      <x:c r="M18" s="26" t="str">
        <x:v>Direct contact published in prior scan.</x:v>
      </x:c>
      <x:c r="N18" s="26" t="str">
        <x:v>Not Applied</x:v>
      </x:c>
      <x:c r="O18" s="26" t="str"/>
      <x:c r="P18" s="26" t="str"/>
      <x:c r="Q18" s="26" t="str">
        <x:v>Not Started</x:v>
      </x:c>
      <x:c r="R18" s="26" t="str"/>
    </x:row>
    <x:row r="19" ht="38" customHeight="1">
      <x:c r="A19" s="26" t="str">
        <x:v>Dlife Interiors</x:v>
      </x:c>
      <x:c r="B19" s="26" t="str">
        <x:v>Business Development Associate</x:v>
      </x:c>
      <x:c r="C19" s="26" t="str">
        <x:v>Bengaluru</x:v>
      </x:c>
      <x:c r="D19" s="26" t="str">
        <x:v>Fresher / 1–2 years</x:v>
      </x:c>
      <x:c r="E19" s="26" t="str">
        <x:v>₹28,000–33,000/month</x:v>
      </x:c>
      <x:c r="F19" s="26" t="str">
        <x:v>BBA / MBA Sales &amp; Marketing</x:v>
      </x:c>
      <x:c r="G19" s="26" t="str">
        <x:v>Lead generation; relationships; market knowledge; Excel</x:v>
      </x:c>
      <x:c r="H19" s="26" t="str">
        <x:v>https://to.indeed.com/aaswvdhscvqy</x:v>
      </x:c>
      <x:c r="I19" s="26" t="str">
        <x:v>Not publicly listed</x:v>
      </x:c>
      <x:c r="J19" s="26" t="str">
        <x:v>Not publicly listed</x:v>
      </x:c>
      <x:c r="K19" s="26" t="str">
        <x:v>Rolling</x:v>
      </x:c>
      <x:c r="L19" s="36" t="n">
        <x:v>8.3</x:v>
      </x:c>
      <x:c r="M19" s="26" t="str">
        <x:v>Good commercial/sales foundation.</x:v>
      </x:c>
      <x:c r="N19" s="26" t="str">
        <x:v>Not Applied</x:v>
      </x:c>
      <x:c r="O19" s="26" t="str"/>
      <x:c r="P19" s="26" t="str"/>
      <x:c r="Q19" s="26" t="str">
        <x:v>Not Started</x:v>
      </x:c>
      <x:c r="R19" s="26" t="str"/>
    </x:row>
    <x:row r="20" ht="38" customHeight="1">
      <x:c r="A20" s="26" t="str">
        <x:v>Rohana Veterinary Diagnostic Lab</x:v>
      </x:c>
      <x:c r="B20" s="26" t="str">
        <x:v>Business Development Executive</x:v>
      </x:c>
      <x:c r="C20" s="26" t="str">
        <x:v>Sanjay Nagar, Bengaluru</x:v>
      </x:c>
      <x:c r="D20" s="26" t="str">
        <x:v>0–3 years</x:v>
      </x:c>
      <x:c r="E20" s="26" t="str">
        <x:v>₹19,000–30,000/month</x:v>
      </x:c>
      <x:c r="F20" s="26" t="str">
        <x:v>BBA/B.Com/B.Sc/non-IT bachelor’s</x:v>
      </x:c>
      <x:c r="G20" s="26" t="str">
        <x:v>Lead generation; client visits; relationship management</x:v>
      </x:c>
      <x:c r="H20" s="26" t="str">
        <x:v>https://to.indeed.com/aa4ztmfnp64f</x:v>
      </x:c>
      <x:c r="I20" s="26" t="str">
        <x:v>Not publicly listed</x:v>
      </x:c>
      <x:c r="J20" s="26" t="str">
        <x:v>9480880919 | 9480880921</x:v>
      </x:c>
      <x:c r="K20" s="26" t="str">
        <x:v>Rolling</x:v>
      </x:c>
      <x:c r="L20" s="36" t="n">
        <x:v>7.8</x:v>
      </x:c>
      <x:c r="M20" s="26" t="str">
        <x:v>Fresher-friendly; lower International Business relevance.</x:v>
      </x:c>
      <x:c r="N20" s="26" t="str">
        <x:v>Not Applied</x:v>
      </x:c>
      <x:c r="O20" s="26" t="str"/>
      <x:c r="P20" s="26" t="str"/>
      <x:c r="Q20" s="26" t="str">
        <x:v>Not Started</x:v>
      </x:c>
      <x:c r="R20" s="26" t="str"/>
    </x:row>
    <x:row r="21" ht="38" customHeight="1">
      <x:c r="A21" s="26" t="str">
        <x:v>Consultants Factory</x:v>
      </x:c>
      <x:c r="B21" s="26" t="str">
        <x:v>Trainee Business Development Executive</x:v>
      </x:c>
      <x:c r="C21" s="26" t="str">
        <x:v>Bannerghatta, Bengaluru</x:v>
      </x:c>
      <x:c r="D21" s="26" t="str">
        <x:v>Fresher</x:v>
      </x:c>
      <x:c r="E21" s="26" t="str">
        <x:v>₹15,000–25,000/month</x:v>
      </x:c>
      <x:c r="F21" s="26" t="str">
        <x:v>BBA/B.Com/MBA</x:v>
      </x:c>
      <x:c r="G21" s="26" t="str">
        <x:v>Excel; MS Office; English; lead management; full sales cycle</x:v>
      </x:c>
      <x:c r="H21" s="26" t="str">
        <x:v>https://to.indeed.com/aa4zvc6yqzr9</x:v>
      </x:c>
      <x:c r="I21" s="26" t="str">
        <x:v>Not publicly listed</x:v>
      </x:c>
      <x:c r="J21" s="26" t="str">
        <x:v>Not publicly listed</x:v>
      </x:c>
      <x:c r="K21" s="26" t="str">
        <x:v>Rolling</x:v>
      </x:c>
      <x:c r="L21" s="36" t="n">
        <x:v>8.7</x:v>
      </x:c>
      <x:c r="M21" s="26" t="str">
        <x:v>Company serves India, EMEA, Europe and US clients.</x:v>
      </x:c>
      <x:c r="N21" s="26" t="str">
        <x:v>Not Applied</x:v>
      </x:c>
      <x:c r="O21" s="26" t="str"/>
      <x:c r="P21" s="26" t="str"/>
      <x:c r="Q21" s="26" t="str">
        <x:v>Not Started</x:v>
      </x:c>
      <x:c r="R21" s="26" t="str"/>
    </x:row>
    <x:row r="22" ht="38" customHeight="1">
      <x:c r="A22" s="26" t="str">
        <x:v>TechKshetra Info Solutions</x:v>
      </x:c>
      <x:c r="B22" s="26" t="str">
        <x:v>IT Sales Executive / Business Development Executive</x:v>
      </x:c>
      <x:c r="C22" s="26" t="str">
        <x:v>Bangalore</x:v>
      </x:c>
      <x:c r="D22" s="26" t="str">
        <x:v>0–1 year / fresher</x:v>
      </x:c>
      <x:c r="E22" s="26" t="str">
        <x:v>₹3–5.5 LPA + uncapped incentives</x:v>
      </x:c>
      <x:c r="F22" s="26" t="str">
        <x:v>BBA/B.Com/any graduate</x:v>
      </x:c>
      <x:c r="G22" s="26" t="str">
        <x:v>B2B SaaS; AI/ERP sales; outbound sales; CRM; email/WhatsApp follow-up</x:v>
      </x:c>
      <x:c r="H22" s="26" t="str">
        <x:v>https://to.indeed.com/aazmd6jh7vnz</x:v>
      </x:c>
      <x:c r="I22" s="26" t="str">
        <x:v>https://techkshetrainfo.com/</x:v>
      </x:c>
      <x:c r="J22" s="26" t="str">
        <x:v>hr@techkshetrainfo.com | 7090178889</x:v>
      </x:c>
      <x:c r="K22" s="26" t="str">
        <x:v>Rolling</x:v>
      </x:c>
      <x:c r="L22" s="36" t="n">
        <x:v>9</x:v>
      </x:c>
      <x:c r="M22" s="26" t="str">
        <x:v>Strong AI + corporate sales option; BBA explicitly accepted.</x:v>
      </x:c>
      <x:c r="N22" s="26" t="str">
        <x:v>Not Applied</x:v>
      </x:c>
      <x:c r="O22" s="26" t="str"/>
      <x:c r="P22" s="26" t="str"/>
      <x:c r="Q22" s="26" t="str">
        <x:v>Not Started</x:v>
      </x:c>
      <x:c r="R22" s="26" t="str"/>
    </x:row>
    <x:row r="23" ht="38" customHeight="1">
      <x:c r="A23" s="26" t="str">
        <x:v>Potful India</x:v>
      </x:c>
      <x:c r="B23" s="26" t="str">
        <x:v>Customer Support &amp; Business Analyst Executive</x:v>
      </x:c>
      <x:c r="C23" s="26" t="str">
        <x:v>Bengaluru</x:v>
      </x:c>
      <x:c r="D23" s="26" t="str">
        <x:v>Fresher</x:v>
      </x:c>
      <x:c r="E23" s="26" t="str">
        <x:v>₹19,000–20,000/month</x:v>
      </x:c>
      <x:c r="F23" s="26" t="str">
        <x:v>BBA</x:v>
      </x:c>
      <x:c r="G23" s="26" t="str">
        <x:v>Excel/Sheets; KPI reporting; operations; business analysis</x:v>
      </x:c>
      <x:c r="H23" s="26" t="str">
        <x:v>https://in.indeed.com/</x:v>
      </x:c>
      <x:c r="I23" s="26" t="str">
        <x:v>Not publicly listed</x:v>
      </x:c>
      <x:c r="J23" s="26" t="str">
        <x:v>Not publicly listed</x:v>
      </x:c>
      <x:c r="K23" s="26" t="str">
        <x:v>Rolling</x:v>
      </x:c>
      <x:c r="L23" s="36" t="n">
        <x:v>8.8</x:v>
      </x:c>
      <x:c r="M23" s="26" t="str">
        <x:v>Good business-analytics/operations foundation.</x:v>
      </x:c>
      <x:c r="N23" s="26" t="str">
        <x:v>Not Applied</x:v>
      </x:c>
      <x:c r="O23" s="26" t="str"/>
      <x:c r="P23" s="26" t="str"/>
      <x:c r="Q23" s="26" t="str">
        <x:v>Not Started</x:v>
      </x:c>
      <x:c r="R23" s="26" t="str"/>
    </x:row>
    <x:row r="24" ht="38" customHeight="1">
      <x:c r="A24" s="26" t="str">
        <x:v>Quest For Nest</x:v>
      </x:c>
      <x:c r="B24" s="26" t="str">
        <x:v>Business Development Associate</x:v>
      </x:c>
      <x:c r="C24" s="26" t="str">
        <x:v>Bengaluru</x:v>
      </x:c>
      <x:c r="D24" s="26" t="str">
        <x:v>0–2 years</x:v>
      </x:c>
      <x:c r="E24" s="26" t="str">
        <x:v>₹25,000/month</x:v>
      </x:c>
      <x:c r="F24" s="26" t="str">
        <x:v>Graduate / BBA preferred</x:v>
      </x:c>
      <x:c r="G24" s="26" t="str">
        <x:v>Lead generation; sales; CRM; customer relationships</x:v>
      </x:c>
      <x:c r="H24" s="26" t="str">
        <x:v>https://in.indeed.com/</x:v>
      </x:c>
      <x:c r="I24" s="26" t="str">
        <x:v>Not publicly listed</x:v>
      </x:c>
      <x:c r="J24" s="26" t="str">
        <x:v>Not publicly listed</x:v>
      </x:c>
      <x:c r="K24" s="26" t="str">
        <x:v>12-Sep-2026</x:v>
      </x:c>
      <x:c r="L24" s="36" t="n">
        <x:v>8.7</x:v>
      </x:c>
      <x:c r="M24" s="26" t="str">
        <x:v>Recently posted in prior scan; deadline explicitly listed.</x:v>
      </x:c>
      <x:c r="N24" s="26" t="str">
        <x:v>Not Applied</x:v>
      </x:c>
      <x:c r="O24" s="26" t="str"/>
      <x:c r="P24" s="26" t="str"/>
      <x:c r="Q24" s="26" t="str">
        <x:v>Not Started</x:v>
      </x:c>
      <x:c r="R24" s="26" t="str"/>
    </x:row>
    <x:row r="25" ht="38" customHeight="1">
      <x:c r="A25" s="26" t="str">
        <x:v>Stone Oak Strategy</x:v>
      </x:c>
      <x:c r="B25" s="26" t="str">
        <x:v>Relationship Manager – Retail Investors</x:v>
      </x:c>
      <x:c r="C25" s="26" t="str">
        <x:v>Bengaluru</x:v>
      </x:c>
      <x:c r="D25" s="26" t="str">
        <x:v>Fresher</x:v>
      </x:c>
      <x:c r="E25" s="26" t="str">
        <x:v>₹3.5–4.5 LPA</x:v>
      </x:c>
      <x:c r="F25" s="26" t="str">
        <x:v>BBA accepted</x:v>
      </x:c>
      <x:c r="G25" s="26" t="str">
        <x:v>Client management; financial services; relationship building</x:v>
      </x:c>
      <x:c r="H25" s="26" t="str">
        <x:v>https://in.indeed.com/</x:v>
      </x:c>
      <x:c r="I25" s="26" t="str">
        <x:v>Not publicly listed</x:v>
      </x:c>
      <x:c r="J25" s="26" t="str">
        <x:v>Not publicly listed</x:v>
      </x:c>
      <x:c r="K25" s="26" t="str">
        <x:v>05-Sep-2026</x:v>
      </x:c>
      <x:c r="L25" s="36" t="n">
        <x:v>8.4</x:v>
      </x:c>
      <x:c r="M25" s="26" t="str">
        <x:v>Finance/client-management route.</x:v>
      </x:c>
      <x:c r="N25" s="26" t="str">
        <x:v>Not Applied</x:v>
      </x:c>
      <x:c r="O25" s="26" t="str"/>
      <x:c r="P25" s="26" t="str"/>
      <x:c r="Q25" s="26" t="str">
        <x:v>Not Started</x:v>
      </x:c>
      <x:c r="R25" s="26" t="str"/>
    </x:row>
    <x:row r="26" ht="38" customHeight="1">
      <x:c r="A26" s="26" t="str">
        <x:v>Furlenco</x:v>
      </x:c>
      <x:c r="B26" s="26" t="str">
        <x:v>Operations Associate</x:v>
      </x:c>
      <x:c r="C26" s="26" t="str">
        <x:v>Bengaluru</x:v>
      </x:c>
      <x:c r="D26" s="26" t="str">
        <x:v>Fresher</x:v>
      </x:c>
      <x:c r="E26" s="26" t="str">
        <x:v>₹2–3 LPA</x:v>
      </x:c>
      <x:c r="F26" s="26" t="str">
        <x:v>Graduate</x:v>
      </x:c>
      <x:c r="G26" s="26" t="str">
        <x:v>Supply-chain scheduling; operations</x:v>
      </x:c>
      <x:c r="H26" s="26" t="str">
        <x:v>https://in.indeed.com/</x:v>
      </x:c>
      <x:c r="I26" s="26" t="str">
        <x:v>https://furlenco.com/</x:v>
      </x:c>
      <x:c r="J26" s="26" t="str">
        <x:v>Not publicly listed</x:v>
      </x:c>
      <x:c r="K26" s="26" t="str">
        <x:v>06-Sep-2026</x:v>
      </x:c>
      <x:c r="L26" s="36" t="n">
        <x:v>8.3</x:v>
      </x:c>
      <x:c r="M26" s="26" t="str">
        <x:v>Good operations entry point.</x:v>
      </x:c>
      <x:c r="N26" s="26" t="str">
        <x:v>Not Applied</x:v>
      </x:c>
      <x:c r="O26" s="26" t="str"/>
      <x:c r="P26" s="26" t="str"/>
      <x:c r="Q26" s="26" t="str">
        <x:v>Not Started</x:v>
      </x:c>
      <x:c r="R26" s="26" t="str"/>
    </x:row>
    <x:row r="27" ht="38" customHeight="1">
      <x:c r="A27" s="26" t="str">
        <x:v>Dezerv</x:v>
      </x:c>
      <x:c r="B27" s="26" t="str">
        <x:v>Business Development Associate</x:v>
      </x:c>
      <x:c r="C27" s="26" t="str">
        <x:v>Bengaluru</x:v>
      </x:c>
      <x:c r="D27" s="26" t="str">
        <x:v>Fresher</x:v>
      </x:c>
      <x:c r="E27" s="26" t="str">
        <x:v>₹60/hour</x:v>
      </x:c>
      <x:c r="F27" s="26" t="str">
        <x:v>Graduate</x:v>
      </x:c>
      <x:c r="G27" s="26" t="str">
        <x:v>HNI/UHNI client acquisition; business development</x:v>
      </x:c>
      <x:c r="H27" s="26" t="str">
        <x:v>https://in.indeed.com/</x:v>
      </x:c>
      <x:c r="I27" s="26" t="str">
        <x:v>https://www.dezerv.in/</x:v>
      </x:c>
      <x:c r="J27" s="26" t="str">
        <x:v>Not publicly listed</x:v>
      </x:c>
      <x:c r="K27" s="26" t="str">
        <x:v>28-Aug-2026</x:v>
      </x:c>
      <x:c r="L27" s="36" t="n">
        <x:v>8.2</x:v>
      </x:c>
      <x:c r="M27" s="26" t="str">
        <x:v>Finance exposure but compensation model differs from standard salary.</x:v>
      </x:c>
      <x:c r="N27" s="26" t="str">
        <x:v>Not Applied</x:v>
      </x:c>
      <x:c r="O27" s="26" t="str"/>
      <x:c r="P27" s="26" t="str"/>
      <x:c r="Q27" s="26" t="str">
        <x:v>Not Started</x:v>
      </x:c>
      <x:c r="R27" s="26" t="str"/>
    </x:row>
    <x:row r="28" ht="38" customHeight="1">
      <x:c r="A28" s="26" t="str">
        <x:v>Wiffy Tech</x:v>
      </x:c>
      <x:c r="B28" s="26" t="str">
        <x:v>Operations Executive</x:v>
      </x:c>
      <x:c r="C28" s="26" t="str">
        <x:v>Bengaluru</x:v>
      </x:c>
      <x:c r="D28" s="26" t="str">
        <x:v>Fresher</x:v>
      </x:c>
      <x:c r="E28" s="26" t="str">
        <x:v>₹3.12–3.48 LPA</x:v>
      </x:c>
      <x:c r="F28" s="26" t="str">
        <x:v>Graduate</x:v>
      </x:c>
      <x:c r="G28" s="26" t="str">
        <x:v>Service operations; coordination; execution</x:v>
      </x:c>
      <x:c r="H28" s="26" t="str">
        <x:v>https://in.indeed.com/</x:v>
      </x:c>
      <x:c r="I28" s="26" t="str">
        <x:v>Not publicly listed</x:v>
      </x:c>
      <x:c r="J28" s="26" t="str">
        <x:v>Not publicly listed</x:v>
      </x:c>
      <x:c r="K28" s="26" t="str">
        <x:v>23-Aug-2026</x:v>
      </x:c>
      <x:c r="L28" s="36" t="n">
        <x:v>8</x:v>
      </x:c>
      <x:c r="M28" s="26" t="str">
        <x:v>Immediate operations role; deadline noted in prior scan.</x:v>
      </x:c>
      <x:c r="N28" s="26" t="str">
        <x:v>Not Applied</x:v>
      </x:c>
      <x:c r="O28" s="26" t="str"/>
      <x:c r="P28" s="26" t="str"/>
      <x:c r="Q28" s="26" t="str">
        <x:v>Not Started</x:v>
      </x:c>
      <x:c r="R28" s="26" t="str"/>
    </x:row>
    <x:row r="29" ht="38" customHeight="1">
      <x:c r="A29" s="26" t="str">
        <x:v>Aishwarya Group</x:v>
      </x:c>
      <x:c r="B29" s="26" t="str">
        <x:v>Business Development Executive</x:v>
      </x:c>
      <x:c r="C29" s="26" t="str">
        <x:v>Bengaluru</x:v>
      </x:c>
      <x:c r="D29" s="26" t="str">
        <x:v>Fresher</x:v>
      </x:c>
      <x:c r="E29" s="26" t="str">
        <x:v>₹20,000–50,000/month + incentives</x:v>
      </x:c>
      <x:c r="F29" s="26" t="str">
        <x:v>Bachelor’s degree</x:v>
      </x:c>
      <x:c r="G29" s="26" t="str">
        <x:v>Lead generation; client relationships; negotiation; CRM</x:v>
      </x:c>
      <x:c r="H29" s="26" t="str">
        <x:v>https://to.indeed.com/aagld4cwymqj</x:v>
      </x:c>
      <x:c r="I29" s="26" t="str">
        <x:v>Not publicly listed</x:v>
      </x:c>
      <x:c r="J29" s="26" t="str">
        <x:v>Not publicly listed</x:v>
      </x:c>
      <x:c r="K29" s="26" t="str">
        <x:v>Rolling</x:v>
      </x:c>
      <x:c r="L29" s="36" t="n">
        <x:v>7.6</x:v>
      </x:c>
      <x:c r="M29" s="26" t="str">
        <x:v>Fresh listing; industry less aligned with International Business.</x:v>
      </x:c>
      <x:c r="N29" s="26" t="str">
        <x:v>Not Applied</x:v>
      </x:c>
      <x:c r="O29" s="26" t="str"/>
      <x:c r="P29" s="26" t="str"/>
      <x:c r="Q29" s="26" t="str">
        <x:v>Not Started</x:v>
      </x:c>
      <x:c r="R29" s="26" t="str"/>
    </x:row>
    <x:row r="30" ht="38" customHeight="1">
      <x:c r="A30" s="26" t="str">
        <x:v>LanceSoft</x:v>
      </x:c>
      <x:c r="B30" s="26" t="str">
        <x:v>US Recruiter / Management Trainee</x:v>
      </x:c>
      <x:c r="C30" s="26" t="str">
        <x:v>Whitefield, Bengaluru</x:v>
      </x:c>
      <x:c r="D30" s="26" t="str">
        <x:v>Fresher</x:v>
      </x:c>
      <x:c r="E30" s="26" t="str">
        <x:v>₹22,000/month + incentives</x:v>
      </x:c>
      <x:c r="F30" s="26" t="str">
        <x:v>Graduate</x:v>
      </x:c>
      <x:c r="G30" s="26" t="str">
        <x:v>English communication; recruitment; international staffing; targets</x:v>
      </x:c>
      <x:c r="H30" s="26" t="str">
        <x:v>https://to.indeed.com/aams9xcmqkvc</x:v>
      </x:c>
      <x:c r="I30" s="26" t="str">
        <x:v>Not publicly listed</x:v>
      </x:c>
      <x:c r="J30" s="26" t="str">
        <x:v>9535455196</x:v>
      </x:c>
      <x:c r="K30" s="26" t="str">
        <x:v>Rolling</x:v>
      </x:c>
      <x:c r="L30" s="36" t="n">
        <x:v>7.5</x:v>
      </x:c>
      <x:c r="M30" s="26" t="str">
        <x:v>International exposure; night shift is a drawback.</x:v>
      </x:c>
      <x:c r="N30" s="26" t="str">
        <x:v>Not Applied</x:v>
      </x:c>
      <x:c r="O30" s="26" t="str"/>
      <x:c r="P30" s="26" t="str"/>
      <x:c r="Q30" s="26" t="str">
        <x:v>Not Started</x:v>
      </x:c>
      <x:c r="R30" s="26" t="str"/>
    </x:row>
    <x:row r="31" ht="38" customHeight="1">
      <x:c r="A31" s="26" t="str">
        <x:v>MAC Machine Tools &amp; Automation</x:v>
      </x:c>
      <x:c r="B31" s="26" t="str">
        <x:v>Marketing Executive / Trainee</x:v>
      </x:c>
      <x:c r="C31" s="26" t="str">
        <x:v>Peenya, Bengaluru</x:v>
      </x:c>
      <x:c r="D31" s="26" t="str">
        <x:v>Fresher–1 year</x:v>
      </x:c>
      <x:c r="E31" s="26" t="str">
        <x:v>₹15,000–25,000/month</x:v>
      </x:c>
      <x:c r="F31" s="26" t="str">
        <x:v>BBA/Marketing/related</x:v>
      </x:c>
      <x:c r="G31" s="26" t="str">
        <x:v>Marketing operations; content; social media; website management; reporting</x:v>
      </x:c>
      <x:c r="H31" s="26" t="str">
        <x:v>https://to.indeed.com/aaz6xbcgvwtxg</x:v>
      </x:c>
      <x:c r="I31" s="26" t="str">
        <x:v>Not publicly listed</x:v>
      </x:c>
      <x:c r="J31" s="26" t="str">
        <x:v>Not publicly listed</x:v>
      </x:c>
      <x:c r="K31" s="26" t="str">
        <x:v>Rolling</x:v>
      </x:c>
      <x:c r="L31" s="36" t="n">
        <x:v>7.7</x:v>
      </x:c>
      <x:c r="M31" s="26" t="str">
        <x:v>Useful commercial/marketing foundation.</x:v>
      </x:c>
      <x:c r="N31" s="26" t="str">
        <x:v>Not Applied</x:v>
      </x:c>
      <x:c r="O31" s="26" t="str"/>
      <x:c r="P31" s="26" t="str"/>
      <x:c r="Q31" s="26" t="str">
        <x:v>Not Started</x:v>
      </x:c>
      <x:c r="R31" s="26" t="str"/>
    </x:row>
    <x:row r="32" ht="38" customHeight="1">
      <x:c r="A32" s="26" t="str">
        <x:v>Perssist Corp / Krismar</x:v>
      </x:c>
      <x:c r="B32" s="26" t="str">
        <x:v>Management Trainee – Sales</x:v>
      </x:c>
      <x:c r="C32" s="26" t="str">
        <x:v>Sarjapura, Bengaluru</x:v>
      </x:c>
      <x:c r="D32" s="26" t="str">
        <x:v>Fresher–2 years</x:v>
      </x:c>
      <x:c r="E32" s="26" t="str">
        <x:v>₹30,000–40,000/month</x:v>
      </x:c>
      <x:c r="F32" s="26" t="str">
        <x:v>Graduate</x:v>
      </x:c>
      <x:c r="G32" s="26" t="str">
        <x:v>Sales; customer handling; inventory; dispatch; procurement; Excel</x:v>
      </x:c>
      <x:c r="H32" s="26" t="str">
        <x:v>https://to.indeed.com/aads9jx4cck7</x:v>
      </x:c>
      <x:c r="I32" s="26" t="str">
        <x:v>Not publicly listed</x:v>
      </x:c>
      <x:c r="J32" s="26" t="str">
        <x:v>Not publicly listed</x:v>
      </x:c>
      <x:c r="K32" s="26" t="str">
        <x:v>Rolling</x:v>
      </x:c>
      <x:c r="L32" s="36" t="n">
        <x:v>8.4</x:v>
      </x:c>
      <x:c r="M32" s="26" t="str">
        <x:v>Business serves domestic and international markets.</x:v>
      </x:c>
      <x:c r="N32" s="26" t="str">
        <x:v>Not Applied</x:v>
      </x:c>
      <x:c r="O32" s="26" t="str"/>
      <x:c r="P32" s="26" t="str"/>
      <x:c r="Q32" s="26" t="str">
        <x:v>Not Started</x:v>
      </x:c>
      <x:c r="R32" s="26" t="str"/>
    </x:row>
    <x:row r="33" ht="38" customHeight="1">
      <x:c r="A33" s="26" t="str">
        <x:v>First Citizens India</x:v>
      </x:c>
      <x:c r="B33" s="26" t="str">
        <x:v>Apprentice – Enterprise Operations</x:v>
      </x:c>
      <x:c r="C33" s="26" t="str">
        <x:v>Bengaluru</x:v>
      </x:c>
      <x:c r="D33" s="26" t="str">
        <x:v>Fresher</x:v>
      </x:c>
      <x:c r="E33" s="26" t="str">
        <x:v>Not disclosed</x:v>
      </x:c>
      <x:c r="F33" s="26" t="str">
        <x:v>Graduate</x:v>
      </x:c>
      <x:c r="G33" s="26" t="str">
        <x:v>Banking operations; KYC; payments; onboarding; fraud operations</x:v>
      </x:c>
      <x:c r="H33" s="26" t="str">
        <x:v>https://svb.wd5.myworkdayjobs.com/en-US/firstcitizensindia/job/Apprentice---Enterprise-Operations_24763</x:v>
      </x:c>
      <x:c r="I33" s="26" t="str">
        <x:v>https://www.firstcitizens.com/careers</x:v>
      </x:c>
      <x:c r="J33" s="26" t="str">
        <x:v>Not publicly listed</x:v>
      </x:c>
      <x:c r="K33" s="26" t="str">
        <x:v>Verify live requisition</x:v>
      </x:c>
      <x:c r="L33" s="36" t="n">
        <x:v>9.7</x:v>
      </x:c>
      <x:c r="M33" s="26" t="str">
        <x:v>Banking/GCC apprenticeship from latest scan.</x:v>
      </x:c>
      <x:c r="N33" s="26" t="str">
        <x:v>Not Applied</x:v>
      </x:c>
      <x:c r="O33" s="26" t="str"/>
      <x:c r="P33" s="26" t="str"/>
      <x:c r="Q33" s="26" t="str">
        <x:v>Not Started</x:v>
      </x:c>
      <x:c r="R33" s="26" t="str"/>
    </x:row>
    <x:row r="34" ht="38" customHeight="1">
      <x:c r="A34" s="26" t="str">
        <x:v>Siemens</x:v>
      </x:c>
      <x:c r="B34" s="26" t="str">
        <x:v>Trainee</x:v>
      </x:c>
      <x:c r="C34" s="26" t="str">
        <x:v>Bengaluru</x:v>
      </x:c>
      <x:c r="D34" s="26" t="str">
        <x:v>Fresher</x:v>
      </x:c>
      <x:c r="E34" s="26" t="str">
        <x:v>Not disclosed</x:v>
      </x:c>
      <x:c r="F34" s="26" t="str">
        <x:v>Graduate / BBA eligible depending on function</x:v>
      </x:c>
      <x:c r="G34" s="26" t="str">
        <x:v>Business operations; reporting; compliance; customer operations</x:v>
      </x:c>
      <x:c r="H34" s="26" t="str">
        <x:v>https://jobs.siemens.com/</x:v>
      </x:c>
      <x:c r="I34" s="26" t="str">
        <x:v>https://jobs.siemens.com/</x:v>
      </x:c>
      <x:c r="J34" s="26" t="str">
        <x:v>Not publicly listed</x:v>
      </x:c>
      <x:c r="K34" s="26" t="str">
        <x:v>Rolling</x:v>
      </x:c>
      <x:c r="L34" s="36" t="n">
        <x:v>9.3</x:v>
      </x:c>
      <x:c r="M34" s="26" t="str">
        <x:v>Strong multinational trainee pathway.</x:v>
      </x:c>
      <x:c r="N34" s="26" t="str">
        <x:v>Not Applied</x:v>
      </x:c>
      <x:c r="O34" s="26" t="str"/>
      <x:c r="P34" s="26" t="str"/>
      <x:c r="Q34" s="26" t="str">
        <x:v>Not Started</x:v>
      </x:c>
      <x:c r="R34" s="26" t="str"/>
    </x:row>
    <x:row r="35" ht="38" customHeight="1">
      <x:c r="A35" s="26" t="str">
        <x:v>Volvo Group</x:v>
      </x:c>
      <x:c r="B35" s="26" t="str">
        <x:v>Graduate Apprentice Trainee</x:v>
      </x:c>
      <x:c r="C35" s="26" t="str">
        <x:v>Bengaluru</x:v>
      </x:c>
      <x:c r="D35" s="26" t="str">
        <x:v>Fresher</x:v>
      </x:c>
      <x:c r="E35" s="26" t="str">
        <x:v>Not disclosed</x:v>
      </x:c>
      <x:c r="F35" s="26" t="str">
        <x:v>Graduate</x:v>
      </x:c>
      <x:c r="G35" s="26" t="str">
        <x:v>Operations; coordination; reporting</x:v>
      </x:c>
      <x:c r="H35" s="26" t="str">
        <x:v>https://www.volvogroup.com/en/careers.html</x:v>
      </x:c>
      <x:c r="I35" s="26" t="str">
        <x:v>https://www.volvogroup.com/en/careers.html</x:v>
      </x:c>
      <x:c r="J35" s="26" t="str">
        <x:v>Not publicly listed</x:v>
      </x:c>
      <x:c r="K35" s="26" t="str">
        <x:v>Rolling</x:v>
      </x:c>
      <x:c r="L35" s="36" t="n">
        <x:v>9.4</x:v>
      </x:c>
      <x:c r="M35" s="26" t="str">
        <x:v>Strong multinational graduate training.</x:v>
      </x:c>
      <x:c r="N35" s="26" t="str">
        <x:v>Not Applied</x:v>
      </x:c>
      <x:c r="O35" s="26" t="str"/>
      <x:c r="P35" s="26" t="str"/>
      <x:c r="Q35" s="26" t="str">
        <x:v>Not Started</x:v>
      </x:c>
      <x:c r="R35" s="26" t="str"/>
    </x:row>
    <x:row r="36" ht="38" customHeight="1">
      <x:c r="A36" s="26" t="str">
        <x:v>ANZ</x:v>
      </x:c>
      <x:c r="B36" s="26" t="str">
        <x:v>Apprentice – Operations</x:v>
      </x:c>
      <x:c r="C36" s="26" t="str">
        <x:v>Bengaluru</x:v>
      </x:c>
      <x:c r="D36" s="26" t="str">
        <x:v>Fresher</x:v>
      </x:c>
      <x:c r="E36" s="26" t="str">
        <x:v>Not disclosed</x:v>
      </x:c>
      <x:c r="F36" s="26" t="str">
        <x:v>BBA/BBM/B.Com/graduate</x:v>
      </x:c>
      <x:c r="G36" s="26" t="str">
        <x:v>Operations; analysis; communication</x:v>
      </x:c>
      <x:c r="H36" s="26" t="str">
        <x:v>https://www.anz.com/careers</x:v>
      </x:c>
      <x:c r="I36" s="26" t="str">
        <x:v>https://www.anz.com/careers</x:v>
      </x:c>
      <x:c r="J36" s="26" t="str">
        <x:v>Not publicly listed</x:v>
      </x:c>
      <x:c r="K36" s="26" t="str">
        <x:v>Rolling</x:v>
      </x:c>
      <x:c r="L36" s="36" t="n">
        <x:v>9.6</x:v>
      </x:c>
      <x:c r="M36" s="26" t="str">
        <x:v>BBA/BBM/B.Com explicitly referenced.</x:v>
      </x:c>
      <x:c r="N36" s="26" t="str">
        <x:v>Not Applied</x:v>
      </x:c>
      <x:c r="O36" s="26" t="str"/>
      <x:c r="P36" s="26" t="str"/>
      <x:c r="Q36" s="26" t="str">
        <x:v>Not Started</x:v>
      </x:c>
      <x:c r="R36" s="26" t="str"/>
    </x:row>
    <x:row r="37" ht="38" customHeight="1">
      <x:c r="A37" s="26" t="str">
        <x:v>Givaudan</x:v>
      </x:c>
      <x:c r="B37" s="26" t="str">
        <x:v>Operations Management Trainee</x:v>
      </x:c>
      <x:c r="C37" s="26" t="str">
        <x:v>Bengaluru</x:v>
      </x:c>
      <x:c r="D37" s="26" t="str">
        <x:v>Entry</x:v>
      </x:c>
      <x:c r="E37" s="26" t="str">
        <x:v>₹2.4–6.8 LPA est.</x:v>
      </x:c>
      <x:c r="F37" s="26" t="str">
        <x:v>Graduate</x:v>
      </x:c>
      <x:c r="G37" s="26" t="str">
        <x:v>Supply chain; operations; process improvement</x:v>
      </x:c>
      <x:c r="H37" s="26" t="str">
        <x:v>https://jobs.givaudan.com/</x:v>
      </x:c>
      <x:c r="I37" s="26" t="str">
        <x:v>https://jobs.givaudan.com/</x:v>
      </x:c>
      <x:c r="J37" s="26" t="str">
        <x:v>Not publicly listed</x:v>
      </x:c>
      <x:c r="K37" s="26" t="str">
        <x:v>Rolling</x:v>
      </x:c>
      <x:c r="L37" s="36" t="n">
        <x:v>9.1</x:v>
      </x:c>
      <x:c r="M37" s="26" t="str">
        <x:v>Strong supply-chain exposure.</x:v>
      </x:c>
      <x:c r="N37" s="26" t="str">
        <x:v>Not Applied</x:v>
      </x:c>
      <x:c r="O37" s="26" t="str"/>
      <x:c r="P37" s="26" t="str"/>
      <x:c r="Q37" s="26" t="str">
        <x:v>Not Started</x:v>
      </x:c>
      <x:c r="R37" s="26" t="str"/>
    </x:row>
    <x:row r="38" ht="38" customHeight="1">
      <x:c r="A38" s="26" t="str">
        <x:v>Genpact</x:v>
      </x:c>
      <x:c r="B38" s="26" t="str">
        <x:v>Management Trainee – Sales Operations</x:v>
      </x:c>
      <x:c r="C38" s="26" t="str">
        <x:v>Bengaluru</x:v>
      </x:c>
      <x:c r="D38" s="26" t="str">
        <x:v>Entry</x:v>
      </x:c>
      <x:c r="E38" s="26" t="str">
        <x:v>₹3.6–6.6 LPA est.</x:v>
      </x:c>
      <x:c r="F38" s="26" t="str">
        <x:v>Graduate</x:v>
      </x:c>
      <x:c r="G38" s="26" t="str">
        <x:v>Sales operations; forecasting; Excel; reporting</x:v>
      </x:c>
      <x:c r="H38" s="26" t="str">
        <x:v>https://www.genpact.com/careers</x:v>
      </x:c>
      <x:c r="I38" s="26" t="str">
        <x:v>https://www.genpact.com/careers</x:v>
      </x:c>
      <x:c r="J38" s="26" t="str">
        <x:v>Not publicly listed</x:v>
      </x:c>
      <x:c r="K38" s="26" t="str">
        <x:v>Rolling</x:v>
      </x:c>
      <x:c r="L38" s="36" t="n">
        <x:v>9</x:v>
      </x:c>
      <x:c r="M38" s="26" t="str">
        <x:v>Strong corporate operations route.</x:v>
      </x:c>
      <x:c r="N38" s="26" t="str">
        <x:v>Not Applied</x:v>
      </x:c>
      <x:c r="O38" s="26" t="str"/>
      <x:c r="P38" s="26" t="str"/>
      <x:c r="Q38" s="26" t="str">
        <x:v>Not Started</x:v>
      </x:c>
      <x:c r="R38" s="26" t="str"/>
    </x:row>
    <x:row r="39" ht="38" customHeight="1">
      <x:c r="A39" s="26" t="str">
        <x:v>Konecranes</x:v>
      </x:c>
      <x:c r="B39" s="26" t="str">
        <x:v>Trainee – Project Management</x:v>
      </x:c>
      <x:c r="C39" s="26" t="str">
        <x:v>Bengaluru</x:v>
      </x:c>
      <x:c r="D39" s="26" t="str">
        <x:v>Entry</x:v>
      </x:c>
      <x:c r="E39" s="26" t="str">
        <x:v>₹3.5–4.0 LPA est.</x:v>
      </x:c>
      <x:c r="F39" s="26" t="str">
        <x:v>Graduate</x:v>
      </x:c>
      <x:c r="G39" s="26" t="str">
        <x:v>Project coordination; planning</x:v>
      </x:c>
      <x:c r="H39" s="26" t="str">
        <x:v>https://www.konecranes.com/careers</x:v>
      </x:c>
      <x:c r="I39" s="26" t="str">
        <x:v>https://www.konecranes.com/careers</x:v>
      </x:c>
      <x:c r="J39" s="26" t="str">
        <x:v>Not publicly listed</x:v>
      </x:c>
      <x:c r="K39" s="26" t="str">
        <x:v>Rolling</x:v>
      </x:c>
      <x:c r="L39" s="36" t="n">
        <x:v>8.8</x:v>
      </x:c>
      <x:c r="M39" s="26" t="str">
        <x:v>Good project-management foundation.</x:v>
      </x:c>
      <x:c r="N39" s="26" t="str">
        <x:v>Not Applied</x:v>
      </x:c>
      <x:c r="O39" s="26" t="str"/>
      <x:c r="P39" s="26" t="str"/>
      <x:c r="Q39" s="26" t="str">
        <x:v>Not Started</x:v>
      </x:c>
      <x:c r="R39" s="26" t="str"/>
    </x:row>
    <x:row r="40" ht="38" customHeight="1">
      <x:c r="A40" s="26" t="str">
        <x:v>Qoruz</x:v>
      </x:c>
      <x:c r="B40" s="26" t="str">
        <x:v>Management Trainee – Client Servicing</x:v>
      </x:c>
      <x:c r="C40" s="26" t="str">
        <x:v>Bengaluru</x:v>
      </x:c>
      <x:c r="D40" s="26" t="str">
        <x:v>Entry</x:v>
      </x:c>
      <x:c r="E40" s="26" t="str">
        <x:v>Not disclosed</x:v>
      </x:c>
      <x:c r="F40" s="26" t="str">
        <x:v>Graduate</x:v>
      </x:c>
      <x:c r="G40" s="26" t="str">
        <x:v>Client management; communication</x:v>
      </x:c>
      <x:c r="H40" s="26" t="str">
        <x:v>https://qoruz.com/careers</x:v>
      </x:c>
      <x:c r="I40" s="26" t="str">
        <x:v>https://qoruz.com/careers</x:v>
      </x:c>
      <x:c r="J40" s="26" t="str">
        <x:v>Not publicly listed</x:v>
      </x:c>
      <x:c r="K40" s="26" t="str">
        <x:v>Rolling</x:v>
      </x:c>
      <x:c r="L40" s="36" t="n">
        <x:v>8.1</x:v>
      </x:c>
      <x:c r="M40" s="26" t="str">
        <x:v>Account-management path.</x:v>
      </x:c>
      <x:c r="N40" s="26" t="str">
        <x:v>Not Applied</x:v>
      </x:c>
      <x:c r="O40" s="26" t="str"/>
      <x:c r="P40" s="26" t="str"/>
      <x:c r="Q40" s="26" t="str">
        <x:v>Not Started</x:v>
      </x:c>
      <x:c r="R40" s="26" t="str"/>
    </x:row>
    <x:row r="41" ht="38" customHeight="1">
      <x:c r="A41" s="26" t="str">
        <x:v>Sales Co Asia</x:v>
      </x:c>
      <x:c r="B41" s="26" t="str">
        <x:v>Management Trainee Program</x:v>
      </x:c>
      <x:c r="C41" s="26" t="str">
        <x:v>Bengaluru</x:v>
      </x:c>
      <x:c r="D41" s="26" t="str">
        <x:v>Fresher</x:v>
      </x:c>
      <x:c r="E41" s="26" t="str">
        <x:v>Not disclosed</x:v>
      </x:c>
      <x:c r="F41" s="26" t="str">
        <x:v>Graduate</x:v>
      </x:c>
      <x:c r="G41" s="26" t="str">
        <x:v>Sales; leadership; communication</x:v>
      </x:c>
      <x:c r="H41" s="26" t="str">
        <x:v>https://www.linkedin.com/company/salescoasia/</x:v>
      </x:c>
      <x:c r="I41" s="26" t="str">
        <x:v>https://www.linkedin.com/company/salescoasia/</x:v>
      </x:c>
      <x:c r="J41" s="26" t="str">
        <x:v>Not publicly listed</x:v>
      </x:c>
      <x:c r="K41" s="26" t="str">
        <x:v>Rolling</x:v>
      </x:c>
      <x:c r="L41" s="36" t="n">
        <x:v>8</x:v>
      </x:c>
      <x:c r="M41" s="26" t="str">
        <x:v>Commercial/leadership experience.</x:v>
      </x:c>
      <x:c r="N41" s="26" t="str">
        <x:v>Not Applied</x:v>
      </x:c>
      <x:c r="O41" s="26" t="str"/>
      <x:c r="P41" s="26" t="str"/>
      <x:c r="Q41" s="26" t="str">
        <x:v>Not Started</x:v>
      </x:c>
      <x:c r="R41" s="26" t="str"/>
    </x:row>
    <x:row r="42" ht="38" customHeight="1">
      <x:c r="A42" s="26" t="str">
        <x:v>GreedyGame</x:v>
      </x:c>
      <x:c r="B42" s="26" t="str">
        <x:v>Business Management Trainee</x:v>
      </x:c>
      <x:c r="C42" s="26" t="str">
        <x:v>Bengaluru</x:v>
      </x:c>
      <x:c r="D42" s="26" t="str">
        <x:v>Entry</x:v>
      </x:c>
      <x:c r="E42" s="26" t="str">
        <x:v>Not disclosed</x:v>
      </x:c>
      <x:c r="F42" s="26" t="str">
        <x:v>Graduate</x:v>
      </x:c>
      <x:c r="G42" s="26" t="str">
        <x:v>Analytics; client operations; business management</x:v>
      </x:c>
      <x:c r="H42" s="26" t="str">
        <x:v>https://greedygame.com/careers</x:v>
      </x:c>
      <x:c r="I42" s="26" t="str">
        <x:v>https://greedygame.com/careers</x:v>
      </x:c>
      <x:c r="J42" s="26" t="str">
        <x:v>Not publicly listed</x:v>
      </x:c>
      <x:c r="K42" s="26" t="str">
        <x:v>Rolling</x:v>
      </x:c>
      <x:c r="L42" s="36" t="n">
        <x:v>8.6</x:v>
      </x:c>
      <x:c r="M42" s="26" t="str">
        <x:v>Good blend of business and technology.</x:v>
      </x:c>
      <x:c r="N42" s="26" t="str">
        <x:v>Not Applied</x:v>
      </x:c>
      <x:c r="O42" s="26" t="str"/>
      <x:c r="P42" s="26" t="str"/>
      <x:c r="Q42" s="26" t="str">
        <x:v>Not Started</x:v>
      </x:c>
      <x:c r="R42" s="26" t="str"/>
    </x:row>
    <x:row r="43" ht="38" customHeight="1">
      <x:c r="A43" s="26" t="str">
        <x:v>Chain Reaction Co.</x:v>
      </x:c>
      <x:c r="B43" s="26" t="str">
        <x:v>Graduate Management Trainee</x:v>
      </x:c>
      <x:c r="C43" s="26" t="str">
        <x:v>Bengaluru</x:v>
      </x:c>
      <x:c r="D43" s="26" t="str">
        <x:v>Fresher</x:v>
      </x:c>
      <x:c r="E43" s="26" t="str">
        <x:v>Not disclosed</x:v>
      </x:c>
      <x:c r="F43" s="26" t="str">
        <x:v>Graduate</x:v>
      </x:c>
      <x:c r="G43" s="26" t="str">
        <x:v>Marketing; management; communication</x:v>
      </x:c>
      <x:c r="H43" s="26" t="str">
        <x:v>https://careers.chainreaction.ae</x:v>
      </x:c>
      <x:c r="I43" s="26" t="str">
        <x:v>https://careers.chainreaction.ae</x:v>
      </x:c>
      <x:c r="J43" s="26" t="str">
        <x:v>Not publicly listed</x:v>
      </x:c>
      <x:c r="K43" s="26" t="str">
        <x:v>Rolling</x:v>
      </x:c>
      <x:c r="L43" s="36" t="n">
        <x:v>8</x:v>
      </x:c>
      <x:c r="M43" s="26" t="str">
        <x:v>Management/client-facing path.</x:v>
      </x:c>
      <x:c r="N43" s="26" t="str">
        <x:v>Not Applied</x:v>
      </x:c>
      <x:c r="O43" s="26" t="str"/>
      <x:c r="P43" s="26" t="str"/>
      <x:c r="Q43" s="26" t="str">
        <x:v>Not Started</x:v>
      </x:c>
      <x:c r="R43" s="26" t="str"/>
    </x:row>
    <x:row r="44" ht="38" customHeight="1">
      <x:c r="A44" s="26" t="str">
        <x:v>Cisco</x:v>
      </x:c>
      <x:c r="B44" s="26" t="str">
        <x:v>Talent Acquisition Coordinator Trainee – Graduate Apprentice</x:v>
      </x:c>
      <x:c r="C44" s="26" t="str">
        <x:v>Bengaluru</x:v>
      </x:c>
      <x:c r="D44" s="26" t="str">
        <x:v>Fresher</x:v>
      </x:c>
      <x:c r="E44" s="26" t="str">
        <x:v>₹2.07–3.25 LPA est.</x:v>
      </x:c>
      <x:c r="F44" s="26" t="str">
        <x:v>Graduate</x:v>
      </x:c>
      <x:c r="G44" s="26" t="str">
        <x:v>Coordination; communication; HR operations; MS Office</x:v>
      </x:c>
      <x:c r="H44" s="26" t="str">
        <x:v>https://jobs.cisco.com/</x:v>
      </x:c>
      <x:c r="I44" s="26" t="str">
        <x:v>https://jobs.cisco.com/</x:v>
      </x:c>
      <x:c r="J44" s="26" t="str">
        <x:v>Not publicly listed</x:v>
      </x:c>
      <x:c r="K44" s="26" t="str">
        <x:v>Rolling</x:v>
      </x:c>
      <x:c r="L44" s="36" t="n">
        <x:v>8.2</x:v>
      </x:c>
      <x:c r="M44" s="26" t="str">
        <x:v>Strong multinational apprenticeship.</x:v>
      </x:c>
      <x:c r="N44" s="26" t="str">
        <x:v>Not Applied</x:v>
      </x:c>
      <x:c r="O44" s="26" t="str"/>
      <x:c r="P44" s="26" t="str"/>
      <x:c r="Q44" s="26" t="str">
        <x:v>Not Started</x:v>
      </x:c>
      <x:c r="R44" s="26" t="str"/>
    </x:row>
    <x:row r="45" ht="38" customHeight="1">
      <x:c r="A45" s="26" t="str">
        <x:v>Cisco</x:v>
      </x:c>
      <x:c r="B45" s="26" t="str">
        <x:v>Marketing Trainee – Graduate Apprentice</x:v>
      </x:c>
      <x:c r="C45" s="26" t="str">
        <x:v>Bengaluru</x:v>
      </x:c>
      <x:c r="D45" s="26" t="str">
        <x:v>Fresher</x:v>
      </x:c>
      <x:c r="E45" s="26" t="str">
        <x:v>₹4.37–7.80 LPA est.</x:v>
      </x:c>
      <x:c r="F45" s="26" t="str">
        <x:v>Graduate</x:v>
      </x:c>
      <x:c r="G45" s="26" t="str">
        <x:v>Marketing; analytics; communication</x:v>
      </x:c>
      <x:c r="H45" s="26" t="str">
        <x:v>https://jobs.cisco.com/</x:v>
      </x:c>
      <x:c r="I45" s="26" t="str">
        <x:v>https://jobs.cisco.com/</x:v>
      </x:c>
      <x:c r="J45" s="26" t="str">
        <x:v>Not publicly listed</x:v>
      </x:c>
      <x:c r="K45" s="26" t="str">
        <x:v>Rolling</x:v>
      </x:c>
      <x:c r="L45" s="36" t="n">
        <x:v>9</x:v>
      </x:c>
      <x:c r="M45" s="26" t="str">
        <x:v>Excellent brand and marketing exposure.</x:v>
      </x:c>
      <x:c r="N45" s="26" t="str">
        <x:v>Not Applied</x:v>
      </x:c>
      <x:c r="O45" s="26" t="str"/>
      <x:c r="P45" s="26" t="str"/>
      <x:c r="Q45" s="26" t="str">
        <x:v>Not Started</x:v>
      </x:c>
      <x:c r="R45" s="26" t="str"/>
    </x:row>
    <x:row r="46" ht="38" customHeight="1">
      <x:c r="A46" s="26" t="str">
        <x:v>AtkinsRéalis</x:v>
      </x:c>
      <x:c r="B46" s="26" t="str">
        <x:v>Trainee</x:v>
      </x:c>
      <x:c r="C46" s="26" t="str">
        <x:v>Bengaluru</x:v>
      </x:c>
      <x:c r="D46" s="26" t="str">
        <x:v>Fresher</x:v>
      </x:c>
      <x:c r="E46" s="26" t="str">
        <x:v>Not disclosed</x:v>
      </x:c>
      <x:c r="F46" s="26" t="str">
        <x:v>Graduate; 70% academic requirement in prior listing</x:v>
      </x:c>
      <x:c r="G46" s="26" t="str">
        <x:v>Documentation; project support</x:v>
      </x:c>
      <x:c r="H46" s="26" t="str">
        <x:v>https://careers.atkinsrealis.com</x:v>
      </x:c>
      <x:c r="I46" s="26" t="str">
        <x:v>https://careers.atkinsrealis.com</x:v>
      </x:c>
      <x:c r="J46" s="26" t="str">
        <x:v>Not publicly listed</x:v>
      </x:c>
      <x:c r="K46" s="26" t="str">
        <x:v>Rolling</x:v>
      </x:c>
      <x:c r="L46" s="36" t="n">
        <x:v>8.2</x:v>
      </x:c>
      <x:c r="M46" s="26" t="str">
        <x:v>Good project-coordination experience.</x:v>
      </x:c>
      <x:c r="N46" s="26" t="str">
        <x:v>Not Applied</x:v>
      </x:c>
      <x:c r="O46" s="26" t="str"/>
      <x:c r="P46" s="26" t="str"/>
      <x:c r="Q46" s="26" t="str">
        <x:v>Not Started</x:v>
      </x:c>
      <x:c r="R46" s="26" t="str"/>
    </x:row>
    <x:row r="47" ht="38" customHeight="1">
      <x:c r="A47" s="26" t="str">
        <x:v>KredX</x:v>
      </x:c>
      <x:c r="B47" s="26" t="str">
        <x:v>Corporate Sales Trainee</x:v>
      </x:c>
      <x:c r="C47" s="26" t="str">
        <x:v>Bengaluru</x:v>
      </x:c>
      <x:c r="D47" s="26" t="str">
        <x:v>Fresher</x:v>
      </x:c>
      <x:c r="E47" s="26" t="str">
        <x:v>Not disclosed</x:v>
      </x:c>
      <x:c r="F47" s="26" t="str">
        <x:v>Any graduate/postgraduate</x:v>
      </x:c>
      <x:c r="G47" s="26" t="str">
        <x:v>B2B sales; trade finance; communication</x:v>
      </x:c>
      <x:c r="H47" s="26" t="str">
        <x:v>https://to.indeed.com/aapr6nnhmrdr</x:v>
      </x:c>
      <x:c r="I47" s="26" t="str">
        <x:v>https://www.kredx.com/join-our-team</x:v>
      </x:c>
      <x:c r="J47" s="26" t="str">
        <x:v>info@kredx.com | +91-8061799200 | 1800 419 4919</x:v>
      </x:c>
      <x:c r="K47" s="26" t="str">
        <x:v>Rolling</x:v>
      </x:c>
      <x:c r="L47" s="36" t="n">
        <x:v>9.8</x:v>
      </x:c>
      <x:c r="M47" s="26" t="str">
        <x:v>Cross-border trade finance relevance.</x:v>
      </x:c>
      <x:c r="N47" s="26" t="str">
        <x:v>Not Applied</x:v>
      </x:c>
      <x:c r="O47" s="26" t="str"/>
      <x:c r="P47" s="26" t="str"/>
      <x:c r="Q47" s="26" t="str">
        <x:v>Not Started</x:v>
      </x:c>
      <x:c r="R47" s="26" t="str"/>
    </x:row>
    <x:row r="48" ht="38" customHeight="1">
      <x:c r="A48" s="26" t="str">
        <x:v>Porter</x:v>
      </x:c>
      <x:c r="B48" s="26" t="str">
        <x:v>Trainee Business Associate</x:v>
      </x:c>
      <x:c r="C48" s="26" t="str">
        <x:v>Bengaluru</x:v>
      </x:c>
      <x:c r="D48" s="26" t="str">
        <x:v>Fresher</x:v>
      </x:c>
      <x:c r="E48" s="26" t="str">
        <x:v>₹20,000–25,000/month (reported in prior scan)</x:v>
      </x:c>
      <x:c r="F48" s="26" t="str">
        <x:v>Graduate</x:v>
      </x:c>
      <x:c r="G48" s="26" t="str">
        <x:v>Market research; business development; logistics</x:v>
      </x:c>
      <x:c r="H48" s="26" t="str">
        <x:v>https://www.porter.in/careers</x:v>
      </x:c>
      <x:c r="I48" s="26" t="str">
        <x:v>https://www.porter.in/careers</x:v>
      </x:c>
      <x:c r="J48" s="26" t="str">
        <x:v>Not publicly listed</x:v>
      </x:c>
      <x:c r="K48" s="26" t="str">
        <x:v>Rolling</x:v>
      </x:c>
      <x:c r="L48" s="36" t="n">
        <x:v>8.9</x:v>
      </x:c>
      <x:c r="M48" s="26" t="str">
        <x:v>Strong logistics + business development exposure.</x:v>
      </x:c>
      <x:c r="N48" s="26" t="str">
        <x:v>Not Applied</x:v>
      </x:c>
      <x:c r="O48" s="26" t="str"/>
      <x:c r="P48" s="26" t="str"/>
      <x:c r="Q48" s="26" t="str">
        <x:v>Not Started</x:v>
      </x:c>
      <x:c r="R48" s="26" t="str"/>
    </x:row>
    <x:row r="49" ht="38" customHeight="1">
      <x:c r="A49" s="26" t="str">
        <x:v>4PL Consultancy</x:v>
      </x:c>
      <x:c r="B49" s="26" t="str">
        <x:v>Global Trade Compliance Trainee</x:v>
      </x:c>
      <x:c r="C49" s="26" t="str">
        <x:v>Whitefield, Bengaluru</x:v>
      </x:c>
      <x:c r="D49" s="26" t="str">
        <x:v>Fresher</x:v>
      </x:c>
      <x:c r="E49" s="26" t="str">
        <x:v>₹2.5–3 LPA</x:v>
      </x:c>
      <x:c r="F49" s="26" t="str">
        <x:v>Graduate</x:v>
      </x:c>
      <x:c r="G49" s="26" t="str">
        <x:v>Export-import; logistics; compliance</x:v>
      </x:c>
      <x:c r="H49" s="26" t="str">
        <x:v>https://in.indeed.com/</x:v>
      </x:c>
      <x:c r="I49" s="26" t="str">
        <x:v>Not publicly listed</x:v>
      </x:c>
      <x:c r="J49" s="26" t="str">
        <x:v>Not publicly listed</x:v>
      </x:c>
      <x:c r="K49" s="26" t="str">
        <x:v>Rolling</x:v>
      </x:c>
      <x:c r="L49" s="36" t="n">
        <x:v>9.6</x:v>
      </x:c>
      <x:c r="M49" s="26" t="str">
        <x:v>Direct International Business/trade fit.</x:v>
      </x:c>
      <x:c r="N49" s="26" t="str">
        <x:v>Not Applied</x:v>
      </x:c>
      <x:c r="O49" s="26" t="str"/>
      <x:c r="P49" s="26" t="str"/>
      <x:c r="Q49" s="26" t="str">
        <x:v>Not Started</x:v>
      </x:c>
      <x:c r="R49" s="26" t="str"/>
    </x:row>
    <x:row r="50" ht="38" customHeight="1">
      <x:c r="A50" s="26" t="str">
        <x:v>Cresc Datasoft</x:v>
      </x:c>
      <x:c r="B50" s="26" t="str">
        <x:v>Analyst – Supply Chain Management</x:v>
      </x:c>
      <x:c r="C50" s="26" t="str">
        <x:v>Bengaluru</x:v>
      </x:c>
      <x:c r="D50" s="26" t="str">
        <x:v>Entry</x:v>
      </x:c>
      <x:c r="E50" s="26" t="str">
        <x:v>Not disclosed</x:v>
      </x:c>
      <x:c r="F50" s="26" t="str">
        <x:v>Graduate</x:v>
      </x:c>
      <x:c r="G50" s="26" t="str">
        <x:v>Supply chain; Excel; customer operations</x:v>
      </x:c>
      <x:c r="H50" s="26" t="str">
        <x:v>https://in.indeed.com/</x:v>
      </x:c>
      <x:c r="I50" s="26" t="str">
        <x:v>Not publicly listed</x:v>
      </x:c>
      <x:c r="J50" s="26" t="str">
        <x:v>Not publicly listed</x:v>
      </x:c>
      <x:c r="K50" s="26" t="str">
        <x:v>Rolling</x:v>
      </x:c>
      <x:c r="L50" s="36" t="n">
        <x:v>8.9</x:v>
      </x:c>
      <x:c r="M50" s="26" t="str">
        <x:v>Strong supply-chain entry.</x:v>
      </x:c>
      <x:c r="N50" s="26" t="str">
        <x:v>Not Applied</x:v>
      </x:c>
      <x:c r="O50" s="26" t="str"/>
      <x:c r="P50" s="26" t="str"/>
      <x:c r="Q50" s="26" t="str">
        <x:v>Not Started</x:v>
      </x:c>
      <x:c r="R50" s="26" t="str"/>
    </x:row>
    <x:row r="51" ht="38" customHeight="1">
      <x:c r="A51" s="26" t="str">
        <x:v>Switchgear and Control Technics</x:v>
      </x:c>
      <x:c r="B51" s="26" t="str">
        <x:v>Trainee Purchase</x:v>
      </x:c>
      <x:c r="C51" s="26" t="str">
        <x:v>Bommasandra, Bengaluru</x:v>
      </x:c>
      <x:c r="D51" s="26" t="str">
        <x:v>Fresher</x:v>
      </x:c>
      <x:c r="E51" s="26" t="str">
        <x:v>Not disclosed</x:v>
      </x:c>
      <x:c r="F51" s="26" t="str">
        <x:v>Graduate</x:v>
      </x:c>
      <x:c r="G51" s="26" t="str">
        <x:v>Procurement; inventory; vendor management</x:v>
      </x:c>
      <x:c r="H51" s="26" t="str">
        <x:v>https://in.indeed.com/</x:v>
      </x:c>
      <x:c r="I51" s="26" t="str">
        <x:v>Not publicly listed</x:v>
      </x:c>
      <x:c r="J51" s="26" t="str">
        <x:v>Not publicly listed</x:v>
      </x:c>
      <x:c r="K51" s="26" t="str">
        <x:v>Rolling</x:v>
      </x:c>
      <x:c r="L51" s="36" t="n">
        <x:v>8.8</x:v>
      </x:c>
      <x:c r="M51" s="26" t="str">
        <x:v>Good procurement entry point.</x:v>
      </x:c>
      <x:c r="N51" s="26" t="str">
        <x:v>Not Applied</x:v>
      </x:c>
      <x:c r="O51" s="26" t="str"/>
      <x:c r="P51" s="26" t="str"/>
      <x:c r="Q51" s="26" t="str">
        <x:v>Not Started</x:v>
      </x:c>
      <x:c r="R51" s="26" t="str"/>
    </x:row>
    <x:row r="52" ht="38" customHeight="1">
      <x:c r="A52" s="26" t="str">
        <x:v>Thermite Educare</x:v>
      </x:c>
      <x:c r="B52" s="26" t="str">
        <x:v>Business Development Associate</x:v>
      </x:c>
      <x:c r="C52" s="26" t="str">
        <x:v>Bangalore City</x:v>
      </x:c>
      <x:c r="D52" s="26" t="str">
        <x:v>Fresher–2 years</x:v>
      </x:c>
      <x:c r="E52" s="26" t="str">
        <x:v>₹15,000–25,000/month + incentives</x:v>
      </x:c>
      <x:c r="F52" s="26" t="str">
        <x:v>Graduate</x:v>
      </x:c>
      <x:c r="G52" s="26" t="str">
        <x:v>Sales; negotiation; CRM; lead generation</x:v>
      </x:c>
      <x:c r="H52" s="26" t="str">
        <x:v>https://to.indeed.com/aajfrbwy2dhv</x:v>
      </x:c>
      <x:c r="I52" s="26" t="str">
        <x:v>Not publicly listed</x:v>
      </x:c>
      <x:c r="J52" s="26" t="str">
        <x:v>Not publicly listed</x:v>
      </x:c>
      <x:c r="K52" s="26" t="str">
        <x:v>Rolling</x:v>
      </x:c>
      <x:c r="L52" s="36" t="n">
        <x:v>8</x:v>
      </x:c>
      <x:c r="M52" s="26" t="str">
        <x:v>Good sales foundation.</x:v>
      </x:c>
      <x:c r="N52" s="26" t="str">
        <x:v>Not Applied</x:v>
      </x:c>
      <x:c r="O52" s="26" t="str"/>
      <x:c r="P52" s="26" t="str"/>
      <x:c r="Q52" s="26" t="str">
        <x:v>Not Started</x:v>
      </x:c>
      <x:c r="R52" s="26" t="str"/>
    </x:row>
    <x:row r="53" ht="38" customHeight="1">
      <x:c r="A53" s="26" t="str">
        <x:v>Value Home Properties</x:v>
      </x:c>
      <x:c r="B53" s="26" t="str">
        <x:v>Trainee Business Development</x:v>
      </x:c>
      <x:c r="C53" s="26" t="str">
        <x:v>Bengaluru</x:v>
      </x:c>
      <x:c r="D53" s="26" t="str">
        <x:v>Fresher</x:v>
      </x:c>
      <x:c r="E53" s="26" t="str">
        <x:v>Not disclosed</x:v>
      </x:c>
      <x:c r="F53" s="26" t="str">
        <x:v>BBA/MBA/any degree</x:v>
      </x:c>
      <x:c r="G53" s="26" t="str">
        <x:v>Business relationships; market analysis; commercial opportunities</x:v>
      </x:c>
      <x:c r="H53" s="26" t="str">
        <x:v>https://in.indeed.com/</x:v>
      </x:c>
      <x:c r="I53" s="26" t="str">
        <x:v>Not publicly listed</x:v>
      </x:c>
      <x:c r="J53" s="26" t="str">
        <x:v>Not publicly listed</x:v>
      </x:c>
      <x:c r="K53" s="26" t="str">
        <x:v>Rolling</x:v>
      </x:c>
      <x:c r="L53" s="36" t="n">
        <x:v>8.4</x:v>
      </x:c>
      <x:c r="M53" s="26" t="str">
        <x:v>Good commercial-development foundation.</x:v>
      </x:c>
      <x:c r="N53" s="26" t="str">
        <x:v>Not Applied</x:v>
      </x:c>
      <x:c r="O53" s="26" t="str"/>
      <x:c r="P53" s="26" t="str"/>
      <x:c r="Q53" s="26" t="str">
        <x:v>Not Started</x:v>
      </x:c>
      <x:c r="R53" s="26" t="str"/>
    </x:row>
    <x:row r="54" ht="38" customHeight="1">
      <x:c r="A54" s="26" t="str">
        <x:v>Astromeda Space</x:v>
      </x:c>
      <x:c r="B54" s="26" t="str">
        <x:v>Founder's Office Executive</x:v>
      </x:c>
      <x:c r="C54" s="26" t="str">
        <x:v>Bengaluru</x:v>
      </x:c>
      <x:c r="D54" s="26" t="str">
        <x:v>0–1 year / fresher</x:v>
      </x:c>
      <x:c r="E54" s="26" t="str">
        <x:v>Not disclosed</x:v>
      </x:c>
      <x:c r="F54" s="26" t="str">
        <x:v>BBA/MBA</x:v>
      </x:c>
      <x:c r="G54" s="26" t="str">
        <x:v>Investor relations; cross-functional business operations</x:v>
      </x:c>
      <x:c r="H54" s="26" t="str">
        <x:v>https://in.indeed.com/</x:v>
      </x:c>
      <x:c r="I54" s="26" t="str">
        <x:v>Not publicly listed</x:v>
      </x:c>
      <x:c r="J54" s="26" t="str">
        <x:v>Not publicly listed</x:v>
      </x:c>
      <x:c r="K54" s="26" t="str">
        <x:v>Rolling</x:v>
      </x:c>
      <x:c r="L54" s="36" t="n">
        <x:v>8.7</x:v>
      </x:c>
      <x:c r="M54" s="26" t="str">
        <x:v>Potentially strong strategy/general-management exposure.</x:v>
      </x:c>
      <x:c r="N54" s="26" t="str">
        <x:v>Not Applied</x:v>
      </x:c>
      <x:c r="O54" s="26" t="str"/>
      <x:c r="P54" s="26" t="str"/>
      <x:c r="Q54" s="26" t="str">
        <x:v>Not Started</x:v>
      </x:c>
      <x:c r="R54" s="26" t="str"/>
    </x:row>
    <x:row r="55" ht="38" customHeight="1">
      <x:c r="A55" s="26" t="str">
        <x:v>Lake Chemicals</x:v>
      </x:c>
      <x:c r="B55" s="26" t="str">
        <x:v>Logistics Coordinator</x:v>
      </x:c>
      <x:c r="C55" s="26" t="str">
        <x:v>Bengaluru</x:v>
      </x:c>
      <x:c r="D55" s="26" t="str">
        <x:v>Fresher-friendly</x:v>
      </x:c>
      <x:c r="E55" s="26" t="str">
        <x:v>₹16,500–17,900/month</x:v>
      </x:c>
      <x:c r="F55" s="26" t="str">
        <x:v>Graduate</x:v>
      </x:c>
      <x:c r="G55" s="26" t="str">
        <x:v>Logistics coordination; computer skills</x:v>
      </x:c>
      <x:c r="H55" s="26" t="str">
        <x:v>https://in.indeed.com/</x:v>
      </x:c>
      <x:c r="I55" s="26" t="str">
        <x:v>Not publicly listed</x:v>
      </x:c>
      <x:c r="J55" s="26" t="str">
        <x:v>Not publicly listed</x:v>
      </x:c>
      <x:c r="K55" s="26" t="str">
        <x:v>Rolling</x:v>
      </x:c>
      <x:c r="L55" s="36" t="n">
        <x:v>7.8</x:v>
      </x:c>
      <x:c r="M55" s="26" t="str">
        <x:v>Entry logistics role; modest pay.</x:v>
      </x:c>
      <x:c r="N55" s="26" t="str">
        <x:v>Not Applied</x:v>
      </x:c>
      <x:c r="O55" s="26" t="str"/>
      <x:c r="P55" s="26" t="str"/>
      <x:c r="Q55" s="26" t="str">
        <x:v>Not Started</x:v>
      </x:c>
      <x:c r="R55" s="26" t="str"/>
    </x:row>
    <x:row r="56" ht="38" customHeight="1">
      <x:c r="A56" s="26" t="str">
        <x:v>HCLTech</x:v>
      </x:c>
      <x:c r="B56" s="26" t="str">
        <x:v>Campus-Advanced Beginner / Process Associate</x:v>
      </x:c>
      <x:c r="C56" s="26" t="str">
        <x:v>Bengaluru</x:v>
      </x:c>
      <x:c r="D56" s="26" t="str">
        <x:v>Fresher</x:v>
      </x:c>
      <x:c r="E56" s="26" t="str">
        <x:v>Not disclosed</x:v>
      </x:c>
      <x:c r="F56" s="26" t="str">
        <x:v>Graduate</x:v>
      </x:c>
      <x:c r="G56" s="26" t="str">
        <x:v>Documentation; business support; process operations</x:v>
      </x:c>
      <x:c r="H56" s="26" t="str">
        <x:v>https://www.hcltech.com/careers</x:v>
      </x:c>
      <x:c r="I56" s="26" t="str">
        <x:v>https://www.hcltech.com/careers</x:v>
      </x:c>
      <x:c r="J56" s="26" t="str">
        <x:v>Not publicly listed</x:v>
      </x:c>
      <x:c r="K56" s="26" t="str">
        <x:v>Rolling</x:v>
      </x:c>
      <x:c r="L56" s="36" t="n">
        <x:v>8.6</x:v>
      </x:c>
      <x:c r="M56" s="26" t="str">
        <x:v>Recognized corporate entry path.</x:v>
      </x:c>
      <x:c r="N56" s="26" t="str">
        <x:v>Not Applied</x:v>
      </x:c>
      <x:c r="O56" s="26" t="str"/>
      <x:c r="P56" s="26" t="str"/>
      <x:c r="Q56" s="26" t="str">
        <x:v>Not Started</x:v>
      </x:c>
      <x:c r="R56" s="26" t="str"/>
    </x:row>
    <x:row r="57" ht="38" customHeight="1">
      <x:c r="A57" s="26" t="str">
        <x:v>DrinkPrime</x:v>
      </x:c>
      <x:c r="B57" s="26" t="str">
        <x:v>Fresher Hiring</x:v>
      </x:c>
      <x:c r="C57" s="26" t="str">
        <x:v>Bengaluru</x:v>
      </x:c>
      <x:c r="D57" s="26" t="str">
        <x:v>Fresher</x:v>
      </x:c>
      <x:c r="E57" s="26" t="str">
        <x:v>Not disclosed</x:v>
      </x:c>
      <x:c r="F57" s="26" t="str">
        <x:v>BBA/B.Com/MBA/BCA/BE</x:v>
      </x:c>
      <x:c r="G57" s="26" t="str">
        <x:v>English/Kannada communication; MS Office; Excel; email handling</x:v>
      </x:c>
      <x:c r="H57" s="26" t="str">
        <x:v>https://in.indeed.com/</x:v>
      </x:c>
      <x:c r="I57" s="26" t="str">
        <x:v>https://drinkprime.in/careers</x:v>
      </x:c>
      <x:c r="J57" s="26" t="str">
        <x:v>Not publicly listed</x:v>
      </x:c>
      <x:c r="K57" s="26" t="str">
        <x:v>Rolling</x:v>
      </x:c>
      <x:c r="L57" s="36" t="n">
        <x:v>8.8</x:v>
      </x:c>
      <x:c r="M57" s="26" t="str">
        <x:v>Good accessible corporate fresher role.</x:v>
      </x:c>
      <x:c r="N57" s="26" t="str">
        <x:v>Not Applied</x:v>
      </x:c>
      <x:c r="O57" s="26" t="str"/>
      <x:c r="P57" s="26" t="str"/>
      <x:c r="Q57" s="26" t="str">
        <x:v>Not Started</x:v>
      </x:c>
      <x:c r="R57" s="26" t="str"/>
    </x:row>
    <x:row r="58" ht="38" customHeight="1">
      <x:c r="A58" s="26" t="str">
        <x:v>Markelytics Solutions India</x:v>
      </x:c>
      <x:c r="B58" s="26" t="str">
        <x:v>Trainee – Project Management</x:v>
      </x:c>
      <x:c r="C58" s="26" t="str">
        <x:v>Bengaluru</x:v>
      </x:c>
      <x:c r="D58" s="26" t="str">
        <x:v>Fresher</x:v>
      </x:c>
      <x:c r="E58" s="26" t="str">
        <x:v>₹3.8–6.5 LPA est. in prior scan</x:v>
      </x:c>
      <x:c r="F58" s="26" t="str">
        <x:v>Graduate</x:v>
      </x:c>
      <x:c r="G58" s="26" t="str">
        <x:v>Project coordination; Excel; communication</x:v>
      </x:c>
      <x:c r="H58" s="26" t="str">
        <x:v>https://to.indeed.com/aa9jsxdxdsd4</x:v>
      </x:c>
      <x:c r="I58" s="26" t="str">
        <x:v>https://markelytics.com/careers/</x:v>
      </x:c>
      <x:c r="J58" s="26" t="str">
        <x:v>Not publicly listed</x:v>
      </x:c>
      <x:c r="K58" s="26" t="str">
        <x:v>Rolling</x:v>
      </x:c>
      <x:c r="L58" s="36" t="n">
        <x:v>8.9</x:v>
      </x:c>
      <x:c r="M58" s="26" t="str">
        <x:v>Strong project management foundation.</x:v>
      </x:c>
      <x:c r="N58" s="26" t="str">
        <x:v>Not Applied</x:v>
      </x:c>
      <x:c r="O58" s="26" t="str"/>
      <x:c r="P58" s="26" t="str"/>
      <x:c r="Q58" s="26" t="str">
        <x:v>Not Started</x:v>
      </x:c>
      <x:c r="R58" s="26" t="str"/>
    </x:row>
    <x:row r="59" ht="38" customHeight="1">
      <x:c r="A59" s="26" t="str">
        <x:v>TechKshetra Info Solutions</x:v>
      </x:c>
      <x:c r="B59" s="26" t="str">
        <x:v>Business Development Executive</x:v>
      </x:c>
      <x:c r="C59" s="26" t="str">
        <x:v>Bengaluru</x:v>
      </x:c>
      <x:c r="D59" s="26" t="str">
        <x:v>0–1 year / fresher</x:v>
      </x:c>
      <x:c r="E59" s="26" t="str">
        <x:v>₹3.6 LPA + uncapped incentives</x:v>
      </x:c>
      <x:c r="F59" s="26" t="str">
        <x:v>BBA/graduate</x:v>
      </x:c>
      <x:c r="G59" s="26" t="str">
        <x:v>B2B SaaS; lead generation; CRM; communication</x:v>
      </x:c>
      <x:c r="H59" s="26" t="str">
        <x:v>https://to.indeed.com/aazmd6jh7vnz</x:v>
      </x:c>
      <x:c r="I59" s="26" t="str">
        <x:v>https://techkshetrainfo.com/</x:v>
      </x:c>
      <x:c r="J59" s="26" t="str">
        <x:v>hr@techkshetrainfo.com | 7090178889</x:v>
      </x:c>
      <x:c r="K59" s="26" t="str">
        <x:v>Rolling</x:v>
      </x:c>
      <x:c r="L59" s="36" t="n">
        <x:v>9</x:v>
      </x:c>
      <x:c r="M59" s="26" t="str">
        <x:v>AI/ERP + B2B sales; BBA explicitly accepted.</x:v>
      </x:c>
      <x:c r="N59" s="26" t="str">
        <x:v>Not Applied</x:v>
      </x:c>
      <x:c r="O59" s="26" t="str"/>
      <x:c r="P59" s="26" t="str"/>
      <x:c r="Q59" s="26" t="str">
        <x:v>Not Started</x:v>
      </x:c>
      <x:c r="R59" s="26" t="str"/>
    </x:row>
    <x:row r="60" ht="38" customHeight="1">
      <x:c r="A60" s="26" t="str">
        <x:v>Varistor Group</x:v>
      </x:c>
      <x:c r="B60" s="26" t="str">
        <x:v>Purchase Executive Intern</x:v>
      </x:c>
      <x:c r="C60" s="26" t="str">
        <x:v>Bengaluru</x:v>
      </x:c>
      <x:c r="D60" s="26" t="str">
        <x:v>Fresher</x:v>
      </x:c>
      <x:c r="E60" s="26" t="str">
        <x:v>₹10,000–30,000/month</x:v>
      </x:c>
      <x:c r="F60" s="26" t="str">
        <x:v>Graduate</x:v>
      </x:c>
      <x:c r="G60" s="26" t="str">
        <x:v>Procurement; vendor coordination; Excel</x:v>
      </x:c>
      <x:c r="H60" s="26" t="str">
        <x:v>https://in.indeed.com/</x:v>
      </x:c>
      <x:c r="I60" s="26" t="str">
        <x:v>Not publicly listed</x:v>
      </x:c>
      <x:c r="J60" s="26" t="str">
        <x:v>Not publicly listed</x:v>
      </x:c>
      <x:c r="K60" s="26" t="str">
        <x:v>Rolling</x:v>
      </x:c>
      <x:c r="L60" s="36" t="n">
        <x:v>8.6</x:v>
      </x:c>
      <x:c r="M60" s="26" t="str">
        <x:v>Direct procurement/supply-chain exposure.</x:v>
      </x:c>
      <x:c r="N60" s="26" t="str">
        <x:v>Not Applied</x:v>
      </x:c>
      <x:c r="O60" s="26" t="str"/>
      <x:c r="P60" s="26" t="str"/>
      <x:c r="Q60" s="26" t="str">
        <x:v>Not Started</x:v>
      </x:c>
      <x:c r="R60" s="26" t="str"/>
    </x:row>
    <x:row r="61" ht="38" customHeight="1">
      <x:c r="A61" s="26" t="str">
        <x:v>Vertex Techno Solutions</x:v>
      </x:c>
      <x:c r="B61" s="26" t="str">
        <x:v>Sales Fresher (B2B Sales)</x:v>
      </x:c>
      <x:c r="C61" s="26" t="str">
        <x:v>Bengaluru</x:v>
      </x:c>
      <x:c r="D61" s="26" t="str">
        <x:v>Fresher</x:v>
      </x:c>
      <x:c r="E61" s="26" t="str">
        <x:v>Not disclosed</x:v>
      </x:c>
      <x:c r="F61" s="26" t="str">
        <x:v>Graduate</x:v>
      </x:c>
      <x:c r="G61" s="26" t="str">
        <x:v>B2B sales; communication; CRM</x:v>
      </x:c>
      <x:c r="H61" s="26" t="str">
        <x:v>https://in.indeed.com/</x:v>
      </x:c>
      <x:c r="I61" s="26" t="str">
        <x:v>Not publicly listed</x:v>
      </x:c>
      <x:c r="J61" s="26" t="str">
        <x:v>Not publicly listed</x:v>
      </x:c>
      <x:c r="K61" s="26" t="str">
        <x:v>Rolling</x:v>
      </x:c>
      <x:c r="L61" s="36" t="n">
        <x:v>8</x:v>
      </x:c>
      <x:c r="M61" s="26" t="str">
        <x:v>Corporate sales foundation.</x:v>
      </x:c>
      <x:c r="N61" s="26" t="str">
        <x:v>Not Applied</x:v>
      </x:c>
      <x:c r="O61" s="26" t="str"/>
      <x:c r="P61" s="26" t="str"/>
      <x:c r="Q61" s="26" t="str">
        <x:v>Not Started</x:v>
      </x:c>
      <x:c r="R61" s="26" t="str"/>
    </x:row>
    <x:row r="62" ht="38" customHeight="1">
      <x:c r="A62" s="26" t="str">
        <x:v>24/7.ai</x:v>
      </x:c>
      <x:c r="B62" s="26" t="str">
        <x:v>Customer Support Executive</x:v>
      </x:c>
      <x:c r="C62" s="26" t="str">
        <x:v>Bengaluru</x:v>
      </x:c>
      <x:c r="D62" s="26" t="str">
        <x:v>Fresher</x:v>
      </x:c>
      <x:c r="E62" s="26" t="str">
        <x:v>Not disclosed</x:v>
      </x:c>
      <x:c r="F62" s="26" t="str">
        <x:v>Graduate</x:v>
      </x:c>
      <x:c r="G62" s="26" t="str">
        <x:v>Customer service; communication; process management</x:v>
      </x:c>
      <x:c r="H62" s="26" t="str">
        <x:v>https://in.indeed.com/</x:v>
      </x:c>
      <x:c r="I62" s="26" t="str">
        <x:v>https://www.247.ai/company/careers</x:v>
      </x:c>
      <x:c r="J62" s="26" t="str">
        <x:v>Not publicly listed</x:v>
      </x:c>
      <x:c r="K62" s="26" t="str">
        <x:v>Rolling</x:v>
      </x:c>
      <x:c r="L62" s="36" t="n">
        <x:v>7.7</x:v>
      </x:c>
      <x:c r="M62" s="26" t="str">
        <x:v>Useful corporate operations experience.</x:v>
      </x:c>
      <x:c r="N62" s="26" t="str">
        <x:v>Not Applied</x:v>
      </x:c>
      <x:c r="O62" s="26" t="str"/>
      <x:c r="P62" s="26" t="str"/>
      <x:c r="Q62" s="26" t="str">
        <x:v>Not Started</x:v>
      </x:c>
      <x:c r="R62" s="26" t="str"/>
    </x:row>
  </x:sheetData>
  <x:conditionalFormatting sqref="L2:L62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dataValidations count="2">
    <x:dataValidation type="list" sqref="N2:N62">
      <x:formula1>"Not Applied,Applied,Rejected,Interview,Offer,On Hold"</x:formula1>
    </x:dataValidation>
    <x:dataValidation type="list" sqref="Q2:Q62">
      <x:formula1>"Not Started,Screening,HR,Manager,Final,Offer,Rejected"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4ef00fba184744"/>
  </x:tableParts>
</x:worksheet>
</file>